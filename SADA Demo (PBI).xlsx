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_SADA\"/>
    </mc:Choice>
  </mc:AlternateContent>
  <xr:revisionPtr revIDLastSave="0" documentId="13_ncr:1_{428F2ED0-84C2-43D8-8954-6956FA2887F3}" xr6:coauthVersionLast="47" xr6:coauthVersionMax="47" xr10:uidLastSave="{00000000-0000-0000-0000-000000000000}"/>
  <bookViews>
    <workbookView xWindow="-108" yWindow="-108" windowWidth="23256" windowHeight="13896" tabRatio="810" activeTab="5" xr2:uid="{FFCFED47-4E27-445A-AB78-F479D82DD20F}"/>
  </bookViews>
  <sheets>
    <sheet name="Zone Water Balance" sheetId="7" r:id="rId1"/>
    <sheet name="Dam" sheetId="1" r:id="rId2"/>
    <sheet name="WTP" sheetId="3" r:id="rId3"/>
    <sheet name="Zone" sheetId="5" r:id="rId4"/>
    <sheet name="Leak" sheetId="8" r:id="rId5"/>
    <sheet name="Meter" sheetId="9" r:id="rId6"/>
    <sheet name="Illegal Connections" sheetId="10" r:id="rId7"/>
    <sheet name="Maintenance" sheetId="11" r:id="rId8"/>
    <sheet name="Calculation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9" l="1" a="1"/>
  <c r="H2" i="9"/>
  <c r="H3" i="9" a="1"/>
  <c r="H3" i="9"/>
  <c r="H4" i="9" a="1"/>
  <c r="H4" i="9"/>
  <c r="H5" i="9" a="1"/>
  <c r="H5" i="9"/>
  <c r="H6" i="9" a="1"/>
  <c r="H6" i="9"/>
  <c r="H7" i="9" a="1"/>
  <c r="H7" i="9"/>
  <c r="H8" i="9" a="1"/>
  <c r="H8" i="9"/>
  <c r="H9" i="9" a="1"/>
  <c r="H9" i="9"/>
  <c r="H10" i="9" a="1"/>
  <c r="H10" i="9" s="1"/>
  <c r="H11" i="9" a="1"/>
  <c r="H11" i="9" s="1"/>
  <c r="H12" i="9" a="1"/>
  <c r="H12" i="9"/>
  <c r="H13" i="9" a="1"/>
  <c r="H13" i="9"/>
  <c r="H14" i="9" a="1"/>
  <c r="H14" i="9"/>
  <c r="H15" i="9" a="1"/>
  <c r="H15" i="9"/>
  <c r="H16" i="9" a="1"/>
  <c r="H16" i="9"/>
  <c r="H17" i="9" a="1"/>
  <c r="H17" i="9"/>
  <c r="H18" i="9" a="1"/>
  <c r="H18" i="9"/>
  <c r="H19" i="9" a="1"/>
  <c r="H19" i="9"/>
  <c r="H20" i="9" a="1"/>
  <c r="H20" i="9"/>
  <c r="H21" i="9" a="1"/>
  <c r="H21" i="9"/>
  <c r="H22" i="9" a="1"/>
  <c r="H22" i="9"/>
  <c r="H23" i="9" a="1"/>
  <c r="H23" i="9"/>
  <c r="H24" i="9" a="1"/>
  <c r="H24" i="9"/>
  <c r="H25" i="9" a="1"/>
  <c r="H25" i="9"/>
  <c r="H26" i="9" a="1"/>
  <c r="H26" i="9"/>
  <c r="H27" i="9" a="1"/>
  <c r="H27" i="9"/>
  <c r="H28" i="9" a="1"/>
  <c r="H28" i="9"/>
  <c r="H29" i="9" a="1"/>
  <c r="H29" i="9"/>
  <c r="H30" i="9" a="1"/>
  <c r="H30" i="9"/>
  <c r="H31" i="9" a="1"/>
  <c r="H31" i="9"/>
  <c r="H32" i="9" a="1"/>
  <c r="H32" i="9"/>
  <c r="H33" i="9" a="1"/>
  <c r="H33" i="9"/>
  <c r="H34" i="9" a="1"/>
  <c r="H34" i="9"/>
  <c r="H35" i="9" a="1"/>
  <c r="H35" i="9"/>
  <c r="H36" i="9" a="1"/>
  <c r="H36" i="9"/>
  <c r="H37" i="9" a="1"/>
  <c r="H37" i="9"/>
  <c r="H38" i="9" a="1"/>
  <c r="H38" i="9"/>
  <c r="H39" i="9" a="1"/>
  <c r="H39" i="9"/>
  <c r="H40" i="9" a="1"/>
  <c r="H40" i="9"/>
  <c r="H41" i="9" a="1"/>
  <c r="H41" i="9"/>
  <c r="H42" i="9" a="1"/>
  <c r="H42" i="9"/>
  <c r="H43" i="9" a="1"/>
  <c r="H43" i="9"/>
  <c r="H44" i="9" a="1"/>
  <c r="H44" i="9"/>
  <c r="H45" i="9" a="1"/>
  <c r="H45" i="9"/>
  <c r="H46" i="9" a="1"/>
  <c r="H46" i="9"/>
  <c r="H47" i="9" a="1"/>
  <c r="H47" i="9"/>
  <c r="H48" i="9" a="1"/>
  <c r="H48" i="9"/>
  <c r="H49" i="9" a="1"/>
  <c r="H49" i="9"/>
  <c r="H50" i="9" a="1"/>
  <c r="H50" i="9"/>
  <c r="H51" i="9" a="1"/>
  <c r="H51" i="9"/>
  <c r="H52" i="9" a="1"/>
  <c r="H52" i="9"/>
  <c r="H53" i="9" a="1"/>
  <c r="H53" i="9"/>
  <c r="H54" i="9" a="1"/>
  <c r="H54" i="9"/>
  <c r="H55" i="9" a="1"/>
  <c r="H55" i="9"/>
  <c r="H56" i="9" a="1"/>
  <c r="H56" i="9"/>
  <c r="H57" i="9" a="1"/>
  <c r="H57" i="9"/>
  <c r="H58" i="9" a="1"/>
  <c r="H58" i="9"/>
  <c r="H59" i="9" a="1"/>
  <c r="H59" i="9"/>
  <c r="H60" i="9" a="1"/>
  <c r="H60" i="9"/>
  <c r="H61" i="9" a="1"/>
  <c r="H61" i="9"/>
  <c r="H62" i="9" a="1"/>
  <c r="H62" i="9"/>
  <c r="H63" i="9" a="1"/>
  <c r="H63" i="9"/>
  <c r="H64" i="9" a="1"/>
  <c r="H64" i="9"/>
  <c r="H65" i="9" a="1"/>
  <c r="H65" i="9"/>
  <c r="H66" i="9" a="1"/>
  <c r="H66" i="9"/>
  <c r="H67" i="9" a="1"/>
  <c r="H67" i="9"/>
  <c r="H68" i="9" a="1"/>
  <c r="H68" i="9"/>
  <c r="H69" i="9" a="1"/>
  <c r="H69" i="9"/>
  <c r="H70" i="9" a="1"/>
  <c r="H70" i="9"/>
  <c r="H71" i="9" a="1"/>
  <c r="H71" i="9"/>
  <c r="H72" i="9" a="1"/>
  <c r="H72" i="9"/>
  <c r="H73" i="9" a="1"/>
  <c r="H73" i="9"/>
  <c r="H74" i="9" a="1"/>
  <c r="H74" i="9"/>
  <c r="H75" i="9" a="1"/>
  <c r="H75" i="9"/>
  <c r="H76" i="9" a="1"/>
  <c r="H76" i="9"/>
  <c r="H77" i="9" a="1"/>
  <c r="H77" i="9"/>
  <c r="H78" i="9" a="1"/>
  <c r="H78" i="9"/>
  <c r="H79" i="9" a="1"/>
  <c r="H79" i="9"/>
  <c r="H80" i="9" a="1"/>
  <c r="H80" i="9"/>
  <c r="H81" i="9" a="1"/>
  <c r="H81" i="9"/>
  <c r="H82" i="9" a="1"/>
  <c r="H82" i="9"/>
  <c r="H83" i="9" a="1"/>
  <c r="H83" i="9"/>
  <c r="H84" i="9" a="1"/>
  <c r="H84" i="9"/>
  <c r="H85" i="9" a="1"/>
  <c r="H85" i="9"/>
  <c r="H86" i="9" a="1"/>
  <c r="H86" i="9"/>
  <c r="H87" i="9" a="1"/>
  <c r="H87" i="9"/>
  <c r="H88" i="9" a="1"/>
  <c r="H88" i="9"/>
  <c r="H89" i="9" a="1"/>
  <c r="H89" i="9"/>
  <c r="H90" i="9" a="1"/>
  <c r="H90" i="9"/>
  <c r="H91" i="9" a="1"/>
  <c r="H91" i="9"/>
  <c r="H92" i="9" a="1"/>
  <c r="H92" i="9"/>
  <c r="H93" i="9" a="1"/>
  <c r="H93" i="9"/>
  <c r="H94" i="9" a="1"/>
  <c r="H94" i="9"/>
  <c r="H95" i="9" a="1"/>
  <c r="H95" i="9"/>
  <c r="H96" i="9" a="1"/>
  <c r="H96" i="9"/>
  <c r="H97" i="9" a="1"/>
  <c r="H97" i="9"/>
  <c r="H98" i="9" a="1"/>
  <c r="H98" i="9"/>
  <c r="H99" i="9" a="1"/>
  <c r="H99" i="9"/>
  <c r="H100" i="9" a="1"/>
  <c r="H100" i="9"/>
  <c r="H101" i="9" a="1"/>
  <c r="H101" i="9"/>
  <c r="H102" i="9" a="1"/>
  <c r="H102" i="9"/>
  <c r="H103" i="9" a="1"/>
  <c r="H103" i="9"/>
  <c r="H104" i="9" a="1"/>
  <c r="H104" i="9"/>
  <c r="H105" i="9" a="1"/>
  <c r="H105" i="9"/>
  <c r="H106" i="9" a="1"/>
  <c r="H106" i="9"/>
  <c r="H107" i="9" a="1"/>
  <c r="H107" i="9"/>
  <c r="H108" i="9" a="1"/>
  <c r="H108" i="9"/>
  <c r="H109" i="9" a="1"/>
  <c r="H109" i="9"/>
  <c r="H110" i="9" a="1"/>
  <c r="H110" i="9"/>
  <c r="H111" i="9" a="1"/>
  <c r="H111" i="9"/>
  <c r="H112" i="9" a="1"/>
  <c r="H112" i="9"/>
  <c r="H113" i="9" a="1"/>
  <c r="H113" i="9"/>
  <c r="H114" i="9" a="1"/>
  <c r="H114" i="9"/>
  <c r="H115" i="9" a="1"/>
  <c r="H115" i="9"/>
  <c r="H116" i="9" a="1"/>
  <c r="H116" i="9"/>
  <c r="H117" i="9" a="1"/>
  <c r="H117" i="9"/>
  <c r="H118" i="9" a="1"/>
  <c r="H118" i="9"/>
  <c r="H119" i="9" a="1"/>
  <c r="H119" i="9"/>
  <c r="H120" i="9" a="1"/>
  <c r="H120" i="9"/>
  <c r="H121" i="9" a="1"/>
  <c r="H121" i="9"/>
  <c r="H122" i="9" a="1"/>
  <c r="H122" i="9"/>
  <c r="H123" i="9" a="1"/>
  <c r="H123" i="9"/>
  <c r="H124" i="9" a="1"/>
  <c r="H124" i="9"/>
  <c r="H125" i="9" a="1"/>
  <c r="H125" i="9"/>
  <c r="H126" i="9" a="1"/>
  <c r="H126" i="9"/>
  <c r="H127" i="9" a="1"/>
  <c r="H127" i="9"/>
  <c r="H128" i="9" a="1"/>
  <c r="H128" i="9"/>
  <c r="H129" i="9" a="1"/>
  <c r="H129" i="9"/>
  <c r="H130" i="9" a="1"/>
  <c r="H130" i="9"/>
  <c r="H131" i="9" a="1"/>
  <c r="H131" i="9"/>
  <c r="H132" i="9" a="1"/>
  <c r="H132" i="9"/>
  <c r="H133" i="9" a="1"/>
  <c r="H133" i="9"/>
  <c r="H134" i="9" a="1"/>
  <c r="H134" i="9"/>
  <c r="H135" i="9" a="1"/>
  <c r="H135" i="9"/>
  <c r="H136" i="9" a="1"/>
  <c r="H136" i="9"/>
  <c r="H137" i="9" a="1"/>
  <c r="H137" i="9"/>
  <c r="H138" i="9" a="1"/>
  <c r="H138" i="9"/>
  <c r="H139" i="9" a="1"/>
  <c r="H139" i="9"/>
  <c r="H140" i="9" a="1"/>
  <c r="H140" i="9"/>
  <c r="H141" i="9" a="1"/>
  <c r="H141" i="9"/>
  <c r="H142" i="9" a="1"/>
  <c r="H142" i="9"/>
  <c r="H143" i="9" a="1"/>
  <c r="H143" i="9"/>
  <c r="H144" i="9" a="1"/>
  <c r="H144" i="9"/>
  <c r="H145" i="9" a="1"/>
  <c r="H145" i="9"/>
  <c r="H146" i="9" a="1"/>
  <c r="H146" i="9"/>
  <c r="H147" i="9" a="1"/>
  <c r="H147" i="9"/>
  <c r="H148" i="9" a="1"/>
  <c r="H148" i="9"/>
  <c r="H149" i="9" a="1"/>
  <c r="H149" i="9"/>
  <c r="H150" i="9" a="1"/>
  <c r="H150" i="9"/>
  <c r="H151" i="9" a="1"/>
  <c r="H151" i="9"/>
  <c r="H152" i="9" a="1"/>
  <c r="H152" i="9"/>
  <c r="H153" i="9" a="1"/>
  <c r="H153" i="9"/>
  <c r="H154" i="9" a="1"/>
  <c r="H154" i="9"/>
  <c r="H155" i="9" a="1"/>
  <c r="H155" i="9"/>
  <c r="H156" i="9" a="1"/>
  <c r="H156" i="9"/>
  <c r="H157" i="9" a="1"/>
  <c r="H157" i="9"/>
  <c r="H158" i="9" a="1"/>
  <c r="H158" i="9"/>
  <c r="H159" i="9" a="1"/>
  <c r="H159" i="9"/>
  <c r="H160" i="9" a="1"/>
  <c r="H160" i="9"/>
  <c r="H161" i="9" a="1"/>
  <c r="H161" i="9"/>
  <c r="H162" i="9" a="1"/>
  <c r="H162" i="9"/>
  <c r="H163" i="9" a="1"/>
  <c r="H163" i="9"/>
  <c r="H164" i="9" a="1"/>
  <c r="H164" i="9"/>
  <c r="H165" i="9" a="1"/>
  <c r="H165" i="9"/>
  <c r="H166" i="9" a="1"/>
  <c r="H166" i="9"/>
  <c r="H167" i="9" a="1"/>
  <c r="H167" i="9"/>
  <c r="H168" i="9" a="1"/>
  <c r="H168" i="9"/>
  <c r="H169" i="9" a="1"/>
  <c r="H169" i="9"/>
  <c r="H170" i="9" a="1"/>
  <c r="H170" i="9"/>
  <c r="H171" i="9" a="1"/>
  <c r="H171" i="9"/>
  <c r="H172" i="9" a="1"/>
  <c r="H172" i="9"/>
  <c r="H173" i="9" a="1"/>
  <c r="H173" i="9"/>
  <c r="H174" i="9" a="1"/>
  <c r="H174" i="9"/>
  <c r="H175" i="9" a="1"/>
  <c r="H175" i="9"/>
  <c r="H176" i="9" a="1"/>
  <c r="H176" i="9"/>
  <c r="H177" i="9" a="1"/>
  <c r="H177" i="9"/>
  <c r="H178" i="9" a="1"/>
  <c r="H178" i="9"/>
  <c r="H179" i="9" a="1"/>
  <c r="H179" i="9"/>
  <c r="H180" i="9" a="1"/>
  <c r="H180" i="9"/>
  <c r="H181" i="9" a="1"/>
  <c r="H181" i="9"/>
  <c r="H182" i="9" a="1"/>
  <c r="H182" i="9"/>
  <c r="H183" i="9" a="1"/>
  <c r="H183" i="9"/>
  <c r="H184" i="9" a="1"/>
  <c r="H184" i="9"/>
  <c r="H185" i="9" a="1"/>
  <c r="H185" i="9"/>
  <c r="H186" i="9" a="1"/>
  <c r="H186" i="9"/>
  <c r="H187" i="9" a="1"/>
  <c r="H187" i="9"/>
  <c r="H188" i="9" a="1"/>
  <c r="H188" i="9"/>
  <c r="H189" i="9" a="1"/>
  <c r="H189" i="9"/>
  <c r="H190" i="9" a="1"/>
  <c r="H190" i="9"/>
  <c r="H191" i="9" a="1"/>
  <c r="H191" i="9"/>
  <c r="H192" i="9" a="1"/>
  <c r="H192" i="9"/>
  <c r="H193" i="9" a="1"/>
  <c r="H193" i="9"/>
  <c r="H194" i="9" a="1"/>
  <c r="H194" i="9"/>
  <c r="H195" i="9" a="1"/>
  <c r="H195" i="9" s="1"/>
  <c r="H196" i="9" a="1"/>
  <c r="H196" i="9"/>
  <c r="H197" i="9" a="1"/>
  <c r="H197" i="9"/>
  <c r="H198" i="9" a="1"/>
  <c r="H198" i="9"/>
  <c r="H199" i="9" a="1"/>
  <c r="H199" i="9"/>
  <c r="H200" i="9" a="1"/>
  <c r="H200" i="9"/>
  <c r="H201" i="9" a="1"/>
  <c r="H201" i="9"/>
  <c r="H202" i="9" a="1"/>
  <c r="H202" i="9"/>
  <c r="H203" i="9" a="1"/>
  <c r="H203" i="9" s="1"/>
  <c r="H204" i="9" a="1"/>
  <c r="H204" i="9" s="1"/>
  <c r="H205" i="9" a="1"/>
  <c r="H205" i="9"/>
  <c r="H206" i="9" a="1"/>
  <c r="H206" i="9"/>
  <c r="H207" i="9" a="1"/>
  <c r="H207" i="9"/>
  <c r="H208" i="9" a="1"/>
  <c r="H208" i="9"/>
  <c r="H209" i="9" a="1"/>
  <c r="H209" i="9"/>
  <c r="H210" i="9" a="1"/>
  <c r="H210" i="9"/>
  <c r="H211" i="9" a="1"/>
  <c r="H211" i="9" s="1"/>
  <c r="H212" i="9" a="1"/>
  <c r="H212" i="9"/>
  <c r="H213" i="9" a="1"/>
  <c r="H213" i="9"/>
  <c r="H214" i="9" a="1"/>
  <c r="H214" i="9"/>
  <c r="H215" i="9" a="1"/>
  <c r="H215" i="9"/>
  <c r="H216" i="9" a="1"/>
  <c r="H216" i="9"/>
  <c r="H217" i="9" a="1"/>
  <c r="H217" i="9"/>
  <c r="H218" i="9" a="1"/>
  <c r="H218" i="9"/>
  <c r="H219" i="9" a="1"/>
  <c r="H219" i="9" s="1"/>
  <c r="H220" i="9" a="1"/>
  <c r="H220" i="9"/>
  <c r="H221" i="9" a="1"/>
  <c r="H221" i="9" s="1"/>
  <c r="H222" i="9" a="1"/>
  <c r="H222" i="9"/>
  <c r="H223" i="9" a="1"/>
  <c r="H223" i="9"/>
  <c r="H224" i="9" a="1"/>
  <c r="H224" i="9"/>
  <c r="H225" i="9" a="1"/>
  <c r="H225" i="9"/>
  <c r="H226" i="9" a="1"/>
  <c r="H226" i="9"/>
  <c r="H227" i="9" a="1"/>
  <c r="H227" i="9" s="1"/>
  <c r="H228" i="9" a="1"/>
  <c r="H228" i="9"/>
  <c r="H229" i="9" a="1"/>
  <c r="H229" i="9"/>
  <c r="H230" i="9" a="1"/>
  <c r="H230" i="9"/>
  <c r="H231" i="9" a="1"/>
  <c r="H231" i="9"/>
  <c r="H232" i="9" a="1"/>
  <c r="H232" i="9"/>
  <c r="H233" i="9" a="1"/>
  <c r="H233" i="9"/>
  <c r="H234" i="9" a="1"/>
  <c r="H234" i="9"/>
  <c r="H235" i="9" a="1"/>
  <c r="H235" i="9" s="1"/>
  <c r="H236" i="9" a="1"/>
  <c r="H236" i="9"/>
  <c r="H237" i="9" a="1"/>
  <c r="H237" i="9"/>
  <c r="H238" i="9" a="1"/>
  <c r="H238" i="9" s="1"/>
  <c r="H239" i="9" a="1"/>
  <c r="H239" i="9"/>
  <c r="H240" i="9" a="1"/>
  <c r="H240" i="9"/>
  <c r="H241" i="9" a="1"/>
  <c r="H241" i="9"/>
  <c r="H242" i="9" a="1"/>
  <c r="H242" i="9"/>
  <c r="H243" i="9" a="1"/>
  <c r="H243" i="9" s="1"/>
  <c r="H244" i="9" a="1"/>
  <c r="H244" i="9"/>
  <c r="H245" i="9" a="1"/>
  <c r="H245" i="9"/>
  <c r="H246" i="9" a="1"/>
  <c r="H246" i="9"/>
  <c r="H247" i="9" a="1"/>
  <c r="H247" i="9"/>
  <c r="H248" i="9" a="1"/>
  <c r="H248" i="9"/>
  <c r="H249" i="9" a="1"/>
  <c r="H249" i="9"/>
  <c r="H250" i="9" a="1"/>
  <c r="H250" i="9"/>
  <c r="H251" i="9" a="1"/>
  <c r="H251" i="9" s="1"/>
  <c r="H252" i="9" a="1"/>
  <c r="H252" i="9"/>
  <c r="H253" i="9" a="1"/>
  <c r="H253" i="9"/>
  <c r="H254" i="9" a="1"/>
  <c r="H254" i="9"/>
  <c r="H255" i="9" a="1"/>
  <c r="H255" i="9" s="1"/>
  <c r="H256" i="9" a="1"/>
  <c r="H256" i="9"/>
  <c r="H257" i="9" a="1"/>
  <c r="H257" i="9"/>
  <c r="H258" i="9" a="1"/>
  <c r="H258" i="9"/>
  <c r="H259" i="9" a="1"/>
  <c r="H259" i="9" s="1"/>
  <c r="H260" i="9" a="1"/>
  <c r="H260" i="9"/>
  <c r="H261" i="9" a="1"/>
  <c r="H261" i="9"/>
  <c r="H262" i="9" a="1"/>
  <c r="H262" i="9"/>
  <c r="H263" i="9" a="1"/>
  <c r="H263" i="9"/>
  <c r="H264" i="9" a="1"/>
  <c r="H264" i="9"/>
  <c r="H265" i="9" a="1"/>
  <c r="H265" i="9"/>
  <c r="H266" i="9" a="1"/>
  <c r="H266" i="9"/>
  <c r="H267" i="9" a="1"/>
  <c r="H267" i="9" s="1"/>
  <c r="H268" i="9" a="1"/>
  <c r="H268" i="9"/>
  <c r="H269" i="9" a="1"/>
  <c r="H269" i="9"/>
  <c r="H270" i="9" a="1"/>
  <c r="H270" i="9"/>
  <c r="H271" i="9" a="1"/>
  <c r="H271" i="9"/>
  <c r="H272" i="9" a="1"/>
  <c r="H272" i="9" s="1"/>
  <c r="H273" i="9" a="1"/>
  <c r="H273" i="9"/>
  <c r="H274" i="9" a="1"/>
  <c r="H274" i="9"/>
  <c r="H275" i="9" a="1"/>
  <c r="H275" i="9" s="1"/>
  <c r="H276" i="9" a="1"/>
  <c r="H276" i="9"/>
  <c r="H277" i="9" a="1"/>
  <c r="H277" i="9"/>
  <c r="H278" i="9" a="1"/>
  <c r="H278" i="9"/>
  <c r="H279" i="9" a="1"/>
  <c r="H279" i="9"/>
  <c r="H280" i="9" a="1"/>
  <c r="H280" i="9"/>
  <c r="H281" i="9" a="1"/>
  <c r="H281" i="9"/>
  <c r="H282" i="9" a="1"/>
  <c r="H282" i="9"/>
  <c r="H283" i="9" a="1"/>
  <c r="H283" i="9" s="1"/>
  <c r="H284" i="9" a="1"/>
  <c r="H284" i="9"/>
  <c r="H285" i="9" a="1"/>
  <c r="H285" i="9"/>
  <c r="H286" i="9" a="1"/>
  <c r="H286" i="9"/>
  <c r="H287" i="9" a="1"/>
  <c r="H287" i="9"/>
  <c r="H288" i="9" a="1"/>
  <c r="H288" i="9"/>
  <c r="H289" i="9" a="1"/>
  <c r="H289" i="9" s="1"/>
  <c r="H290" i="9" a="1"/>
  <c r="H290" i="9"/>
  <c r="H291" i="9" a="1"/>
  <c r="H291" i="9" s="1"/>
  <c r="H292" i="9" a="1"/>
  <c r="H292" i="9"/>
  <c r="H293" i="9" a="1"/>
  <c r="H293" i="9"/>
  <c r="H294" i="9" a="1"/>
  <c r="H294" i="9"/>
  <c r="H295" i="9" a="1"/>
  <c r="H295" i="9"/>
  <c r="H296" i="9" a="1"/>
  <c r="H296" i="9"/>
  <c r="H297" i="9" a="1"/>
  <c r="H297" i="9"/>
  <c r="H298" i="9" a="1"/>
  <c r="H298" i="9"/>
  <c r="H299" i="9" a="1"/>
  <c r="H299" i="9" s="1"/>
  <c r="H300" i="9" a="1"/>
  <c r="H300" i="9"/>
  <c r="H301" i="9" a="1"/>
  <c r="H301" i="9"/>
  <c r="H302" i="9" a="1"/>
  <c r="H302" i="9"/>
  <c r="H303" i="9" a="1"/>
  <c r="H303" i="9"/>
  <c r="H304" i="9" a="1"/>
  <c r="H304" i="9"/>
  <c r="H305" i="9" a="1"/>
  <c r="H305" i="9"/>
  <c r="H306" i="9" a="1"/>
  <c r="H306" i="9" s="1"/>
  <c r="H307" i="9" a="1"/>
  <c r="H307" i="9" s="1"/>
  <c r="H308" i="9" a="1"/>
  <c r="H308" i="9"/>
  <c r="H309" i="9" a="1"/>
  <c r="H309" i="9"/>
  <c r="H310" i="9" a="1"/>
  <c r="H310" i="9"/>
  <c r="H311" i="9" a="1"/>
  <c r="H311" i="9"/>
  <c r="H312" i="9" a="1"/>
  <c r="H312" i="9"/>
  <c r="H313" i="9" a="1"/>
  <c r="H313" i="9"/>
  <c r="H314" i="9" a="1"/>
  <c r="H314" i="9"/>
  <c r="H315" i="9" a="1"/>
  <c r="H315" i="9" s="1"/>
  <c r="H316" i="9" a="1"/>
  <c r="H316" i="9"/>
  <c r="H317" i="9" a="1"/>
  <c r="H317" i="9"/>
  <c r="H318" i="9" a="1"/>
  <c r="H318" i="9"/>
  <c r="H319" i="9" a="1"/>
  <c r="H319" i="9"/>
  <c r="H320" i="9" a="1"/>
  <c r="H320" i="9"/>
  <c r="H321" i="9" a="1"/>
  <c r="H321" i="9"/>
  <c r="H322" i="9" a="1"/>
  <c r="H322" i="9"/>
  <c r="H323" i="9" a="1"/>
  <c r="H323" i="9" s="1"/>
  <c r="H324" i="9" a="1"/>
  <c r="H324" i="9"/>
  <c r="H325" i="9" a="1"/>
  <c r="H325" i="9"/>
  <c r="H326" i="9" a="1"/>
  <c r="H326" i="9"/>
  <c r="H327" i="9" a="1"/>
  <c r="H327" i="9"/>
  <c r="H328" i="9" a="1"/>
  <c r="H328" i="9"/>
  <c r="H329" i="9" a="1"/>
  <c r="H329" i="9"/>
  <c r="H330" i="9" a="1"/>
  <c r="H330" i="9"/>
  <c r="H331" i="9" a="1"/>
  <c r="H331" i="9" s="1"/>
  <c r="H332" i="9" a="1"/>
  <c r="H332" i="9" s="1"/>
  <c r="H333" i="9" a="1"/>
  <c r="H333" i="9"/>
  <c r="H334" i="9" a="1"/>
  <c r="H334" i="9"/>
  <c r="H335" i="9" a="1"/>
  <c r="H335" i="9"/>
  <c r="H336" i="9" a="1"/>
  <c r="H336" i="9"/>
  <c r="H337" i="9" a="1"/>
  <c r="H337" i="9"/>
  <c r="H338" i="9" a="1"/>
  <c r="H338" i="9"/>
  <c r="H339" i="9" a="1"/>
  <c r="H339" i="9" s="1"/>
  <c r="H340" i="9" a="1"/>
  <c r="H340" i="9"/>
  <c r="H341" i="9" a="1"/>
  <c r="H341" i="9"/>
  <c r="H342" i="9" a="1"/>
  <c r="H342" i="9"/>
  <c r="H343" i="9" a="1"/>
  <c r="H343" i="9"/>
  <c r="H344" i="9" a="1"/>
  <c r="H344" i="9"/>
  <c r="H345" i="9" a="1"/>
  <c r="H345" i="9"/>
  <c r="H346" i="9" a="1"/>
  <c r="H346" i="9"/>
  <c r="H347" i="9" a="1"/>
  <c r="H347" i="9" s="1"/>
  <c r="H348" i="9" a="1"/>
  <c r="H348" i="9"/>
  <c r="H349" i="9" a="1"/>
  <c r="H349" i="9" s="1"/>
  <c r="H350" i="9" a="1"/>
  <c r="H350" i="9"/>
  <c r="H351" i="9" a="1"/>
  <c r="H351" i="9"/>
  <c r="H352" i="9" a="1"/>
  <c r="H352" i="9"/>
  <c r="H353" i="9" a="1"/>
  <c r="H353" i="9"/>
  <c r="H354" i="9" a="1"/>
  <c r="H354" i="9"/>
  <c r="H355" i="9" a="1"/>
  <c r="H355" i="9" s="1"/>
  <c r="H356" i="9" a="1"/>
  <c r="H356" i="9"/>
  <c r="H357" i="9" a="1"/>
  <c r="H357" i="9"/>
  <c r="H358" i="9" a="1"/>
  <c r="H358" i="9"/>
  <c r="H359" i="9" a="1"/>
  <c r="H359" i="9"/>
  <c r="H360" i="9" a="1"/>
  <c r="H360" i="9"/>
  <c r="H361" i="9" a="1"/>
  <c r="H361" i="9"/>
  <c r="H362" i="9" a="1"/>
  <c r="H362" i="9"/>
  <c r="H363" i="9" a="1"/>
  <c r="H363" i="9" s="1"/>
  <c r="H364" i="9" a="1"/>
  <c r="H364" i="9"/>
  <c r="H365" i="9" a="1"/>
  <c r="H365" i="9"/>
  <c r="H366" i="9" a="1"/>
  <c r="H366" i="9" s="1"/>
  <c r="H367" i="9" a="1"/>
  <c r="H367" i="9"/>
  <c r="H368" i="9" a="1"/>
  <c r="H368" i="9"/>
  <c r="H369" i="9" a="1"/>
  <c r="H369" i="9"/>
  <c r="H370" i="9" a="1"/>
  <c r="H370" i="9"/>
  <c r="H371" i="9" a="1"/>
  <c r="H371" i="9" s="1"/>
  <c r="H372" i="9" a="1"/>
  <c r="H372" i="9"/>
  <c r="H373" i="9" a="1"/>
  <c r="H373" i="9"/>
  <c r="H374" i="9" a="1"/>
  <c r="H374" i="9"/>
  <c r="H375" i="9" a="1"/>
  <c r="H375" i="9"/>
  <c r="H376" i="9" a="1"/>
  <c r="H376" i="9"/>
  <c r="H377" i="9" a="1"/>
  <c r="H377" i="9"/>
  <c r="H378" i="9" a="1"/>
  <c r="H378" i="9"/>
  <c r="H379" i="9" a="1"/>
  <c r="H379" i="9" s="1"/>
  <c r="H380" i="9" a="1"/>
  <c r="H380" i="9"/>
  <c r="H381" i="9" a="1"/>
  <c r="H381" i="9"/>
  <c r="H382" i="9" a="1"/>
  <c r="H382" i="9"/>
  <c r="H383" i="9" a="1"/>
  <c r="H383" i="9" s="1"/>
  <c r="H384" i="9" a="1"/>
  <c r="H384" i="9" s="1"/>
  <c r="H385" i="9" a="1"/>
  <c r="H385" i="9"/>
  <c r="H386" i="9" a="1"/>
  <c r="H386" i="9"/>
  <c r="H387" i="9" a="1"/>
  <c r="H387" i="9" s="1"/>
  <c r="H388" i="9" a="1"/>
  <c r="H388" i="9"/>
  <c r="H389" i="9" a="1"/>
  <c r="H389" i="9"/>
  <c r="H390" i="9" a="1"/>
  <c r="H390" i="9"/>
  <c r="H391" i="9" a="1"/>
  <c r="H391" i="9"/>
  <c r="H392" i="9" a="1"/>
  <c r="H392" i="9"/>
  <c r="H393" i="9" a="1"/>
  <c r="H393" i="9"/>
  <c r="H394" i="9" a="1"/>
  <c r="H394" i="9"/>
  <c r="H395" i="9" a="1"/>
  <c r="H395" i="9" s="1"/>
  <c r="H396" i="9" a="1"/>
  <c r="H396" i="9"/>
  <c r="H397" i="9" a="1"/>
  <c r="H397" i="9"/>
  <c r="H398" i="9" a="1"/>
  <c r="H398" i="9"/>
  <c r="H399" i="9" a="1"/>
  <c r="H399" i="9"/>
  <c r="H400" i="9" a="1"/>
  <c r="H400" i="9" s="1"/>
  <c r="H401" i="9" a="1"/>
  <c r="H401" i="9" s="1"/>
  <c r="H402" i="9" a="1"/>
  <c r="H402" i="9"/>
  <c r="H403" i="9" a="1"/>
  <c r="H403" i="9" s="1"/>
  <c r="H404" i="9" a="1"/>
  <c r="H404" i="9"/>
  <c r="H405" i="9" a="1"/>
  <c r="H405" i="9"/>
  <c r="H406" i="9" a="1"/>
  <c r="H406" i="9"/>
  <c r="H407" i="9" a="1"/>
  <c r="H407" i="9"/>
  <c r="H408" i="9" a="1"/>
  <c r="H408" i="9"/>
  <c r="H409" i="9" a="1"/>
  <c r="H409" i="9"/>
  <c r="H410" i="9" a="1"/>
  <c r="H410" i="9"/>
  <c r="H411" i="9" a="1"/>
  <c r="H411" i="9" s="1"/>
  <c r="H412" i="9" a="1"/>
  <c r="H412" i="9"/>
  <c r="H413" i="9" a="1"/>
  <c r="H413" i="9"/>
  <c r="H414" i="9" a="1"/>
  <c r="H414" i="9"/>
  <c r="H415" i="9" a="1"/>
  <c r="H415" i="9"/>
  <c r="H416" i="9" a="1"/>
  <c r="H416" i="9"/>
  <c r="H417" i="9" a="1"/>
  <c r="H417" i="9" s="1"/>
  <c r="H418" i="9" a="1"/>
  <c r="H418" i="9" s="1"/>
  <c r="H419" i="9" a="1"/>
  <c r="H419" i="9" s="1"/>
  <c r="H420" i="9" a="1"/>
  <c r="H420" i="9"/>
  <c r="H421" i="9" a="1"/>
  <c r="H421" i="9"/>
  <c r="H422" i="9" a="1"/>
  <c r="H422" i="9"/>
  <c r="H423" i="9" a="1"/>
  <c r="H423" i="9"/>
  <c r="H424" i="9" a="1"/>
  <c r="H424" i="9"/>
  <c r="H425" i="9" a="1"/>
  <c r="H425" i="9"/>
  <c r="H426" i="9" a="1"/>
  <c r="H426" i="9"/>
  <c r="H427" i="9" a="1"/>
  <c r="H427" i="9" s="1"/>
  <c r="H428" i="9" a="1"/>
  <c r="H428" i="9"/>
  <c r="H429" i="9" a="1"/>
  <c r="H429" i="9"/>
  <c r="H430" i="9" a="1"/>
  <c r="H430" i="9"/>
  <c r="H431" i="9" a="1"/>
  <c r="H431" i="9"/>
  <c r="H432" i="9" a="1"/>
  <c r="H432" i="9"/>
  <c r="H433" i="9" a="1"/>
  <c r="H433" i="9"/>
  <c r="H434" i="9" a="1"/>
  <c r="H434" i="9" s="1"/>
  <c r="H435" i="9" a="1"/>
  <c r="H435" i="9" s="1"/>
  <c r="H436" i="9" a="1"/>
  <c r="H436" i="9"/>
  <c r="H437" i="9" a="1"/>
  <c r="H437" i="9"/>
  <c r="H438" i="9" a="1"/>
  <c r="H438" i="9"/>
  <c r="H439" i="9" a="1"/>
  <c r="H439" i="9"/>
  <c r="H440" i="9" a="1"/>
  <c r="H440" i="9"/>
  <c r="H441" i="9" a="1"/>
  <c r="H441" i="9"/>
  <c r="H442" i="9" a="1"/>
  <c r="H442" i="9"/>
  <c r="H443" i="9" a="1"/>
  <c r="H443" i="9" s="1"/>
  <c r="H444" i="9" a="1"/>
  <c r="H444" i="9" s="1"/>
  <c r="H445" i="9" a="1"/>
  <c r="H445" i="9"/>
  <c r="H446" i="9" a="1"/>
  <c r="H446" i="9"/>
  <c r="H447" i="9" a="1"/>
  <c r="H447" i="9"/>
  <c r="H448" i="9" a="1"/>
  <c r="H448" i="9"/>
  <c r="H449" i="9" a="1"/>
  <c r="H449" i="9"/>
  <c r="H450" i="9" a="1"/>
  <c r="H450" i="9"/>
  <c r="H451" i="9" a="1"/>
  <c r="H451" i="9" s="1"/>
  <c r="H452" i="9" a="1"/>
  <c r="H452" i="9"/>
  <c r="H453" i="9" a="1"/>
  <c r="H453" i="9"/>
  <c r="H454" i="9" a="1"/>
  <c r="H454" i="9"/>
  <c r="H455" i="9" a="1"/>
  <c r="H455" i="9"/>
  <c r="H456" i="9" a="1"/>
  <c r="H456" i="9"/>
  <c r="H457" i="9" a="1"/>
  <c r="H457" i="9"/>
  <c r="H458" i="9" a="1"/>
  <c r="H458" i="9"/>
  <c r="H459" i="9" a="1"/>
  <c r="H459" i="9" s="1"/>
  <c r="H460" i="9" a="1"/>
  <c r="H460" i="9" s="1"/>
  <c r="H461" i="9" a="1"/>
  <c r="H461" i="9" s="1"/>
  <c r="H462" i="9" a="1"/>
  <c r="H462" i="9"/>
  <c r="H463" i="9" a="1"/>
  <c r="H463" i="9"/>
  <c r="H464" i="9" a="1"/>
  <c r="H464" i="9"/>
  <c r="H465" i="9" a="1"/>
  <c r="H465" i="9"/>
  <c r="H466" i="9" a="1"/>
  <c r="H466" i="9"/>
  <c r="H467" i="9" a="1"/>
  <c r="H467" i="9" s="1"/>
  <c r="H468" i="9" a="1"/>
  <c r="H468" i="9"/>
  <c r="H469" i="9" a="1"/>
  <c r="H469" i="9"/>
  <c r="H470" i="9" a="1"/>
  <c r="H470" i="9"/>
  <c r="H471" i="9" a="1"/>
  <c r="H471" i="9"/>
  <c r="H472" i="9" a="1"/>
  <c r="H472" i="9"/>
  <c r="H473" i="9" a="1"/>
  <c r="H473" i="9"/>
  <c r="H474" i="9" a="1"/>
  <c r="H474" i="9"/>
  <c r="H475" i="9" a="1"/>
  <c r="H475" i="9" s="1"/>
  <c r="H476" i="9" a="1"/>
  <c r="H476" i="9"/>
  <c r="H477" i="9" a="1"/>
  <c r="H477" i="9" s="1"/>
  <c r="H478" i="9" a="1"/>
  <c r="H478" i="9" s="1"/>
  <c r="H479" i="9" a="1"/>
  <c r="H479" i="9"/>
  <c r="H480" i="9" a="1"/>
  <c r="H480" i="9"/>
  <c r="H481" i="9" a="1"/>
  <c r="H481" i="9"/>
  <c r="H482" i="9" a="1"/>
  <c r="H482" i="9"/>
  <c r="H483" i="9" a="1"/>
  <c r="H483" i="9" s="1"/>
  <c r="H484" i="9" a="1"/>
  <c r="H484" i="9"/>
  <c r="H485" i="9" a="1"/>
  <c r="H485" i="9"/>
  <c r="H486" i="9" a="1"/>
  <c r="H486" i="9"/>
  <c r="H487" i="9" a="1"/>
  <c r="H487" i="9"/>
  <c r="H488" i="9" a="1"/>
  <c r="H488" i="9"/>
  <c r="H489" i="9" a="1"/>
  <c r="H489" i="9"/>
  <c r="H490" i="9" a="1"/>
  <c r="H490" i="9"/>
  <c r="H491" i="9" a="1"/>
  <c r="H491" i="9" s="1"/>
  <c r="H492" i="9" a="1"/>
  <c r="H492" i="9"/>
  <c r="H493" i="9" a="1"/>
  <c r="H493" i="9"/>
  <c r="H494" i="9" a="1"/>
  <c r="H494" i="9" s="1"/>
  <c r="H495" i="9" a="1"/>
  <c r="H495" i="9" s="1"/>
  <c r="H496" i="9" a="1"/>
  <c r="H496" i="9"/>
  <c r="H497" i="9" a="1"/>
  <c r="H497" i="9"/>
  <c r="H498" i="9" a="1"/>
  <c r="H498" i="9"/>
  <c r="H499" i="9" a="1"/>
  <c r="H499" i="9" s="1"/>
  <c r="H500" i="9" a="1"/>
  <c r="H500" i="9"/>
  <c r="H501" i="9" a="1"/>
  <c r="H501" i="9"/>
  <c r="H502" i="9" a="1"/>
  <c r="H502" i="9"/>
  <c r="H503" i="9" a="1"/>
  <c r="H503" i="9"/>
  <c r="H504" i="9" a="1"/>
  <c r="H504" i="9"/>
  <c r="H505" i="9" a="1"/>
  <c r="H505" i="9"/>
  <c r="H506" i="9" a="1"/>
  <c r="H506" i="9"/>
  <c r="H507" i="9" a="1"/>
  <c r="H507" i="9" s="1"/>
  <c r="H508" i="9" a="1"/>
  <c r="H508" i="9"/>
  <c r="H509" i="9" a="1"/>
  <c r="H509" i="9"/>
  <c r="H510" i="9" a="1"/>
  <c r="H510" i="9"/>
  <c r="H511" i="9" a="1"/>
  <c r="H511" i="9" s="1"/>
  <c r="H512" i="9" a="1"/>
  <c r="H512" i="9" s="1"/>
  <c r="H513" i="9" a="1"/>
  <c r="H513" i="9"/>
  <c r="H514" i="9" a="1"/>
  <c r="H514" i="9"/>
  <c r="H515" i="9" a="1"/>
  <c r="H515" i="9" s="1"/>
  <c r="H516" i="9" a="1"/>
  <c r="H516" i="9"/>
  <c r="H517" i="9" a="1"/>
  <c r="H517" i="9"/>
  <c r="H518" i="9" a="1"/>
  <c r="H518" i="9"/>
  <c r="H519" i="9" a="1"/>
  <c r="H519" i="9"/>
  <c r="H520" i="9" a="1"/>
  <c r="H520" i="9"/>
  <c r="H521" i="9" a="1"/>
  <c r="H521" i="9"/>
  <c r="H522" i="9" a="1"/>
  <c r="H522" i="9"/>
  <c r="H523" i="9" a="1"/>
  <c r="H523" i="9" s="1"/>
  <c r="H524" i="9" a="1"/>
  <c r="H524" i="9"/>
  <c r="H525" i="9" a="1"/>
  <c r="H525" i="9"/>
  <c r="H526" i="9" a="1"/>
  <c r="H526" i="9"/>
  <c r="H527" i="9" a="1"/>
  <c r="H527" i="9"/>
  <c r="H528" i="9" a="1"/>
  <c r="H528" i="9" s="1"/>
  <c r="H529" i="9" a="1"/>
  <c r="H529" i="9" s="1"/>
  <c r="H530" i="9" a="1"/>
  <c r="H530" i="9"/>
  <c r="H531" i="9" a="1"/>
  <c r="H531" i="9" s="1"/>
  <c r="H532" i="9" a="1"/>
  <c r="H532" i="9"/>
  <c r="H533" i="9" a="1"/>
  <c r="H533" i="9"/>
  <c r="H534" i="9" a="1"/>
  <c r="H534" i="9"/>
  <c r="H535" i="9" a="1"/>
  <c r="H535" i="9"/>
  <c r="H536" i="9" a="1"/>
  <c r="H536" i="9"/>
  <c r="H537" i="9" a="1"/>
  <c r="H537" i="9"/>
  <c r="H538" i="9" a="1"/>
  <c r="H538" i="9"/>
  <c r="H539" i="9" a="1"/>
  <c r="H539" i="9" s="1"/>
  <c r="H540" i="9" a="1"/>
  <c r="H540" i="9"/>
  <c r="H541" i="9" a="1"/>
  <c r="H541" i="9"/>
  <c r="H542" i="9" a="1"/>
  <c r="H542" i="9"/>
  <c r="H543" i="9" a="1"/>
  <c r="H543" i="9"/>
  <c r="H544" i="9" a="1"/>
  <c r="H544" i="9"/>
  <c r="H545" i="9" a="1"/>
  <c r="H545" i="9" s="1"/>
  <c r="H546" i="9" a="1"/>
  <c r="H546" i="9" s="1"/>
  <c r="H547" i="9" a="1"/>
  <c r="H547" i="9" s="1"/>
  <c r="H548" i="9" a="1"/>
  <c r="H548" i="9"/>
  <c r="H549" i="9" a="1"/>
  <c r="H549" i="9"/>
  <c r="H550" i="9" a="1"/>
  <c r="H550" i="9"/>
  <c r="H551" i="9" a="1"/>
  <c r="H551" i="9"/>
  <c r="H552" i="9" a="1"/>
  <c r="H552" i="9"/>
  <c r="H553" i="9" a="1"/>
  <c r="H553" i="9"/>
  <c r="H554" i="9" a="1"/>
  <c r="H554" i="9"/>
  <c r="H555" i="9" a="1"/>
  <c r="H555" i="9" s="1"/>
  <c r="H556" i="9" a="1"/>
  <c r="H556" i="9"/>
  <c r="H557" i="9" a="1"/>
  <c r="H557" i="9"/>
  <c r="H558" i="9" a="1"/>
  <c r="H558" i="9"/>
  <c r="H559" i="9" a="1"/>
  <c r="H559" i="9"/>
  <c r="H560" i="9" a="1"/>
  <c r="H560" i="9"/>
  <c r="H561" i="9" a="1"/>
  <c r="H561" i="9"/>
  <c r="H562" i="9" a="1"/>
  <c r="H562" i="9" s="1"/>
  <c r="H563" i="9" a="1"/>
  <c r="H563" i="9" s="1"/>
  <c r="H564" i="9" a="1"/>
  <c r="H564" i="9"/>
  <c r="H565" i="9" a="1"/>
  <c r="H565" i="9"/>
  <c r="H566" i="9" a="1"/>
  <c r="H566" i="9"/>
  <c r="H567" i="9" a="1"/>
  <c r="H567" i="9"/>
  <c r="H568" i="9" a="1"/>
  <c r="H568" i="9"/>
  <c r="H569" i="9" a="1"/>
  <c r="H569" i="9"/>
  <c r="H570" i="9" a="1"/>
  <c r="H570" i="9"/>
  <c r="H571" i="9" a="1"/>
  <c r="H571" i="9" s="1"/>
  <c r="H572" i="9" a="1"/>
  <c r="H572" i="9" s="1"/>
  <c r="H573" i="9" a="1"/>
  <c r="H573" i="9"/>
  <c r="H574" i="9" a="1"/>
  <c r="H574" i="9"/>
  <c r="H575" i="9" a="1"/>
  <c r="H575" i="9"/>
  <c r="H576" i="9" a="1"/>
  <c r="H576" i="9"/>
  <c r="H577" i="9" a="1"/>
  <c r="H577" i="9"/>
  <c r="H578" i="9" a="1"/>
  <c r="H578" i="9"/>
  <c r="H579" i="9" a="1"/>
  <c r="H579" i="9" s="1"/>
  <c r="H580" i="9" a="1"/>
  <c r="H580" i="9"/>
  <c r="H581" i="9" a="1"/>
  <c r="H581" i="9"/>
  <c r="H582" i="9" a="1"/>
  <c r="H582" i="9"/>
  <c r="H583" i="9" a="1"/>
  <c r="H583" i="9"/>
  <c r="H584" i="9" a="1"/>
  <c r="H584" i="9"/>
  <c r="H585" i="9" a="1"/>
  <c r="H585" i="9"/>
  <c r="H586" i="9" a="1"/>
  <c r="H586" i="9"/>
  <c r="H587" i="9" a="1"/>
  <c r="H587" i="9" s="1"/>
  <c r="H588" i="9" a="1"/>
  <c r="H588" i="9" s="1"/>
  <c r="H589" i="9" a="1"/>
  <c r="H589" i="9" s="1"/>
  <c r="H590" i="9" a="1"/>
  <c r="H590" i="9"/>
  <c r="H591" i="9" a="1"/>
  <c r="H591" i="9"/>
  <c r="H592" i="9" a="1"/>
  <c r="H592" i="9"/>
  <c r="H593" i="9" a="1"/>
  <c r="H593" i="9"/>
  <c r="H594" i="9" a="1"/>
  <c r="H594" i="9"/>
  <c r="H595" i="9" a="1"/>
  <c r="H595" i="9" s="1"/>
  <c r="H596" i="9" a="1"/>
  <c r="H596" i="9"/>
  <c r="H597" i="9" a="1"/>
  <c r="H597" i="9"/>
  <c r="H598" i="9" a="1"/>
  <c r="H598" i="9"/>
  <c r="H599" i="9" a="1"/>
  <c r="H599" i="9"/>
  <c r="H600" i="9" a="1"/>
  <c r="H600" i="9"/>
  <c r="H601" i="9" a="1"/>
  <c r="H601" i="9"/>
  <c r="H602" i="9" a="1"/>
  <c r="H602" i="9"/>
  <c r="H603" i="9" a="1"/>
  <c r="H603" i="9" s="1"/>
  <c r="H604" i="9" a="1"/>
  <c r="H604" i="9"/>
  <c r="H605" i="9" a="1"/>
  <c r="H605" i="9" s="1"/>
  <c r="H606" i="9" a="1"/>
  <c r="H606" i="9" s="1"/>
  <c r="H607" i="9" a="1"/>
  <c r="H607" i="9"/>
  <c r="H608" i="9" a="1"/>
  <c r="H608" i="9"/>
  <c r="H609" i="9" a="1"/>
  <c r="H609" i="9"/>
  <c r="H610" i="9" a="1"/>
  <c r="H610" i="9"/>
  <c r="H611" i="9" a="1"/>
  <c r="H611" i="9" s="1"/>
  <c r="H612" i="9" a="1"/>
  <c r="H612" i="9"/>
  <c r="H613" i="9" a="1"/>
  <c r="H613" i="9"/>
  <c r="H614" i="9" a="1"/>
  <c r="H614" i="9"/>
  <c r="H615" i="9" a="1"/>
  <c r="H615" i="9"/>
  <c r="H616" i="9" a="1"/>
  <c r="H616" i="9"/>
  <c r="H617" i="9" a="1"/>
  <c r="H617" i="9"/>
  <c r="H618" i="9" a="1"/>
  <c r="H618" i="9"/>
  <c r="H619" i="9" a="1"/>
  <c r="H619" i="9" s="1"/>
  <c r="H620" i="9" a="1"/>
  <c r="H620" i="9"/>
  <c r="H621" i="9" a="1"/>
  <c r="H621" i="9"/>
  <c r="H622" i="9" a="1"/>
  <c r="H622" i="9" s="1"/>
  <c r="H623" i="9" a="1"/>
  <c r="H623" i="9" s="1"/>
  <c r="H624" i="9" a="1"/>
  <c r="H624" i="9"/>
  <c r="H625" i="9" a="1"/>
  <c r="H625" i="9"/>
  <c r="H626" i="9" a="1"/>
  <c r="H626" i="9"/>
  <c r="H627" i="9" a="1"/>
  <c r="H627" i="9" s="1"/>
  <c r="H628" i="9" a="1"/>
  <c r="H628" i="9"/>
  <c r="H629" i="9" a="1"/>
  <c r="H629" i="9"/>
  <c r="H630" i="9" a="1"/>
  <c r="H630" i="9"/>
  <c r="H631" i="9" a="1"/>
  <c r="H631" i="9"/>
  <c r="H632" i="9" a="1"/>
  <c r="H632" i="9"/>
  <c r="H633" i="9" a="1"/>
  <c r="H633" i="9"/>
  <c r="H634" i="9" a="1"/>
  <c r="H634" i="9"/>
  <c r="H635" i="9" a="1"/>
  <c r="H635" i="9" s="1"/>
  <c r="H636" i="9" a="1"/>
  <c r="H636" i="9"/>
  <c r="H637" i="9" a="1"/>
  <c r="H637" i="9"/>
  <c r="H638" i="9" a="1"/>
  <c r="H638" i="9"/>
  <c r="H639" i="9" a="1"/>
  <c r="H639" i="9" s="1"/>
  <c r="H640" i="9" a="1"/>
  <c r="H640" i="9" s="1"/>
  <c r="H641" i="9" a="1"/>
  <c r="H641" i="9"/>
  <c r="H642" i="9" a="1"/>
  <c r="H642" i="9"/>
  <c r="H643" i="9" a="1"/>
  <c r="H643" i="9" s="1"/>
  <c r="H644" i="9" a="1"/>
  <c r="H644" i="9"/>
  <c r="H645" i="9" a="1"/>
  <c r="H645" i="9"/>
  <c r="H646" i="9" a="1"/>
  <c r="H646" i="9"/>
  <c r="H647" i="9" a="1"/>
  <c r="H647" i="9"/>
  <c r="H648" i="9" a="1"/>
  <c r="H648" i="9"/>
  <c r="H649" i="9" a="1"/>
  <c r="H649" i="9"/>
  <c r="H650" i="9" a="1"/>
  <c r="H650" i="9"/>
  <c r="H651" i="9" a="1"/>
  <c r="H651" i="9" s="1"/>
  <c r="H652" i="9" a="1"/>
  <c r="H652" i="9"/>
  <c r="H653" i="9" a="1"/>
  <c r="H653" i="9"/>
  <c r="H654" i="9" a="1"/>
  <c r="H654" i="9"/>
  <c r="H655" i="9" a="1"/>
  <c r="H655" i="9"/>
  <c r="H656" i="9" a="1"/>
  <c r="H656" i="9" s="1"/>
  <c r="H657" i="9" a="1"/>
  <c r="H657" i="9" s="1"/>
  <c r="H658" i="9" a="1"/>
  <c r="H658" i="9"/>
  <c r="H659" i="9" a="1"/>
  <c r="H659" i="9" s="1"/>
  <c r="H660" i="9" a="1"/>
  <c r="H660" i="9"/>
  <c r="H661" i="9" a="1"/>
  <c r="H661" i="9"/>
  <c r="H662" i="9" a="1"/>
  <c r="H662" i="9"/>
  <c r="H663" i="9" a="1"/>
  <c r="H663" i="9"/>
  <c r="H664" i="9" a="1"/>
  <c r="H664" i="9"/>
  <c r="H665" i="9" a="1"/>
  <c r="H665" i="9"/>
  <c r="H666" i="9" a="1"/>
  <c r="H666" i="9"/>
  <c r="H667" i="9" a="1"/>
  <c r="H667" i="9" s="1"/>
  <c r="H668" i="9" a="1"/>
  <c r="H668" i="9"/>
  <c r="H669" i="9" a="1"/>
  <c r="H669" i="9"/>
  <c r="H670" i="9" a="1"/>
  <c r="H670" i="9"/>
  <c r="H671" i="9" a="1"/>
  <c r="H671" i="9"/>
  <c r="H672" i="9" a="1"/>
  <c r="H672" i="9"/>
  <c r="H673" i="9" a="1"/>
  <c r="H673" i="9" s="1"/>
  <c r="H674" i="9" a="1"/>
  <c r="H674" i="9" s="1"/>
  <c r="H675" i="9" a="1"/>
  <c r="H675" i="9" s="1"/>
  <c r="H676" i="9" a="1"/>
  <c r="H676" i="9"/>
  <c r="H677" i="9" a="1"/>
  <c r="H677" i="9"/>
  <c r="H678" i="9" a="1"/>
  <c r="H678" i="9"/>
  <c r="H679" i="9" a="1"/>
  <c r="H679" i="9"/>
  <c r="H680" i="9" a="1"/>
  <c r="H680" i="9"/>
  <c r="H681" i="9" a="1"/>
  <c r="H681" i="9"/>
  <c r="H682" i="9" a="1"/>
  <c r="H682" i="9"/>
  <c r="H683" i="9" a="1"/>
  <c r="H683" i="9" s="1"/>
  <c r="H684" i="9" a="1"/>
  <c r="H684" i="9"/>
  <c r="H685" i="9" a="1"/>
  <c r="H685" i="9"/>
  <c r="H686" i="9" a="1"/>
  <c r="H686" i="9"/>
  <c r="H687" i="9" a="1"/>
  <c r="H687" i="9"/>
  <c r="H688" i="9" a="1"/>
  <c r="H688" i="9"/>
  <c r="H689" i="9" a="1"/>
  <c r="H689" i="9"/>
  <c r="H690" i="9" a="1"/>
  <c r="H690" i="9" s="1"/>
  <c r="H691" i="9" a="1"/>
  <c r="H691" i="9" s="1"/>
  <c r="H692" i="9" a="1"/>
  <c r="H692" i="9"/>
  <c r="H693" i="9" a="1"/>
  <c r="H693" i="9"/>
  <c r="H694" i="9" a="1"/>
  <c r="H694" i="9"/>
  <c r="H695" i="9" a="1"/>
  <c r="H695" i="9"/>
  <c r="H696" i="9" a="1"/>
  <c r="H696" i="9"/>
  <c r="H697" i="9" a="1"/>
  <c r="H697" i="9"/>
  <c r="H698" i="9" a="1"/>
  <c r="H698" i="9"/>
  <c r="H699" i="9" a="1"/>
  <c r="H699" i="9" s="1"/>
  <c r="H700" i="9" a="1"/>
  <c r="H700" i="9" s="1"/>
  <c r="H701" i="9" a="1"/>
  <c r="H701" i="9"/>
  <c r="H702" i="9" a="1"/>
  <c r="H702" i="9"/>
  <c r="H703" i="9" a="1"/>
  <c r="H703" i="9"/>
  <c r="H704" i="9" a="1"/>
  <c r="H704" i="9"/>
  <c r="H705" i="9" a="1"/>
  <c r="H705" i="9"/>
  <c r="H706" i="9" a="1"/>
  <c r="H706" i="9"/>
  <c r="H707" i="9" a="1"/>
  <c r="H707" i="9" s="1"/>
  <c r="H708" i="9" a="1"/>
  <c r="H708" i="9"/>
  <c r="H709" i="9" a="1"/>
  <c r="H709" i="9"/>
  <c r="H710" i="9" a="1"/>
  <c r="H710" i="9"/>
  <c r="H711" i="9" a="1"/>
  <c r="H711" i="9"/>
  <c r="H712" i="9" a="1"/>
  <c r="H712" i="9"/>
  <c r="H713" i="9" a="1"/>
  <c r="H713" i="9"/>
  <c r="H714" i="9" a="1"/>
  <c r="H714" i="9"/>
  <c r="H715" i="9" a="1"/>
  <c r="H715" i="9" s="1"/>
  <c r="H716" i="9" a="1"/>
  <c r="H716" i="9" s="1"/>
  <c r="H717" i="9" a="1"/>
  <c r="H717" i="9" s="1"/>
  <c r="H718" i="9" a="1"/>
  <c r="H718" i="9"/>
  <c r="H719" i="9" a="1"/>
  <c r="H719" i="9"/>
  <c r="H720" i="9" a="1"/>
  <c r="H720" i="9"/>
  <c r="H721" i="9" a="1"/>
  <c r="H721" i="9"/>
  <c r="H722" i="9" a="1"/>
  <c r="H722" i="9"/>
  <c r="H723" i="9" a="1"/>
  <c r="H723" i="9" s="1"/>
  <c r="H724" i="9" a="1"/>
  <c r="H724" i="9"/>
  <c r="H725" i="9" a="1"/>
  <c r="H725" i="9"/>
  <c r="H726" i="9" a="1"/>
  <c r="H726" i="9"/>
  <c r="H727" i="9" a="1"/>
  <c r="H727" i="9"/>
  <c r="H728" i="9" a="1"/>
  <c r="H728" i="9"/>
  <c r="H729" i="9" a="1"/>
  <c r="H729" i="9"/>
  <c r="H730" i="9" a="1"/>
  <c r="H730" i="9"/>
  <c r="H731" i="9" a="1"/>
  <c r="H731" i="9" s="1"/>
  <c r="H732" i="9" a="1"/>
  <c r="H732" i="9"/>
  <c r="H733" i="9" a="1"/>
  <c r="H733" i="9" s="1"/>
  <c r="H734" i="9" a="1"/>
  <c r="H734" i="9" s="1"/>
  <c r="H735" i="9" a="1"/>
  <c r="H735" i="9"/>
  <c r="H736" i="9" a="1"/>
  <c r="H736" i="9"/>
  <c r="H737" i="9" a="1"/>
  <c r="H737" i="9"/>
  <c r="H738" i="9" a="1"/>
  <c r="H738" i="9"/>
  <c r="H739" i="9" a="1"/>
  <c r="H739" i="9" s="1"/>
  <c r="H740" i="9" a="1"/>
  <c r="H740" i="9"/>
  <c r="H741" i="9" a="1"/>
  <c r="H741" i="9"/>
  <c r="H742" i="9" a="1"/>
  <c r="H742" i="9"/>
  <c r="H743" i="9" a="1"/>
  <c r="H743" i="9"/>
  <c r="H744" i="9" a="1"/>
  <c r="H744" i="9"/>
  <c r="H745" i="9" a="1"/>
  <c r="H745" i="9"/>
  <c r="H746" i="9" a="1"/>
  <c r="H746" i="9"/>
  <c r="H747" i="9" a="1"/>
  <c r="H747" i="9" s="1"/>
  <c r="H748" i="9" a="1"/>
  <c r="H748" i="9"/>
  <c r="H749" i="9" a="1"/>
  <c r="H749" i="9"/>
  <c r="H750" i="9" a="1"/>
  <c r="H750" i="9" s="1"/>
  <c r="H751" i="9" a="1"/>
  <c r="H751" i="9" s="1"/>
  <c r="H752" i="9" a="1"/>
  <c r="H752" i="9"/>
  <c r="H753" i="9" a="1"/>
  <c r="H753" i="9"/>
  <c r="H754" i="9" a="1"/>
  <c r="H754" i="9"/>
  <c r="H755" i="9" a="1"/>
  <c r="H755" i="9" s="1"/>
  <c r="H756" i="9" a="1"/>
  <c r="H756" i="9"/>
  <c r="H757" i="9" a="1"/>
  <c r="H757" i="9"/>
  <c r="H758" i="9" a="1"/>
  <c r="H758" i="9"/>
  <c r="H759" i="9" a="1"/>
  <c r="H759" i="9"/>
  <c r="H760" i="9" a="1"/>
  <c r="H760" i="9"/>
  <c r="H761" i="9" a="1"/>
  <c r="H761" i="9"/>
  <c r="H762" i="9" a="1"/>
  <c r="H762" i="9"/>
  <c r="H763" i="9" a="1"/>
  <c r="H763" i="9" s="1"/>
  <c r="H764" i="9" a="1"/>
  <c r="H764" i="9"/>
  <c r="H765" i="9" a="1"/>
  <c r="H765" i="9"/>
  <c r="H766" i="9" a="1"/>
  <c r="H766" i="9"/>
  <c r="H767" i="9" a="1"/>
  <c r="H767" i="9" s="1"/>
  <c r="H768" i="9" a="1"/>
  <c r="H768" i="9" s="1"/>
  <c r="H769" i="9" a="1"/>
  <c r="H769" i="9"/>
  <c r="H770" i="9" a="1"/>
  <c r="H770" i="9"/>
  <c r="H771" i="9" a="1"/>
  <c r="H771" i="9" s="1"/>
  <c r="H772" i="9" a="1"/>
  <c r="H772" i="9"/>
  <c r="H773" i="9" a="1"/>
  <c r="H773" i="9"/>
  <c r="H774" i="9" a="1"/>
  <c r="H774" i="9"/>
  <c r="H775" i="9" a="1"/>
  <c r="H775" i="9"/>
  <c r="H776" i="9" a="1"/>
  <c r="H776" i="9"/>
  <c r="H777" i="9" a="1"/>
  <c r="H777" i="9"/>
  <c r="H778" i="9" a="1"/>
  <c r="H778" i="9"/>
  <c r="H779" i="9" a="1"/>
  <c r="H779" i="9" s="1"/>
  <c r="H780" i="9" a="1"/>
  <c r="H780" i="9"/>
  <c r="H781" i="9" a="1"/>
  <c r="H781" i="9"/>
  <c r="H782" i="9" a="1"/>
  <c r="H782" i="9"/>
  <c r="H783" i="9" a="1"/>
  <c r="H783" i="9"/>
  <c r="H784" i="9" a="1"/>
  <c r="H784" i="9" s="1"/>
  <c r="H785" i="9" a="1"/>
  <c r="H785" i="9" s="1"/>
  <c r="H786" i="9" a="1"/>
  <c r="H786" i="9"/>
  <c r="H787" i="9" a="1"/>
  <c r="H787" i="9" s="1"/>
  <c r="H788" i="9" a="1"/>
  <c r="H788" i="9"/>
  <c r="H789" i="9" a="1"/>
  <c r="H789" i="9"/>
  <c r="H790" i="9" a="1"/>
  <c r="H790" i="9"/>
  <c r="H791" i="9" a="1"/>
  <c r="H791" i="9"/>
  <c r="H792" i="9" a="1"/>
  <c r="H792" i="9"/>
  <c r="H793" i="9" a="1"/>
  <c r="H793" i="9"/>
  <c r="H794" i="9" a="1"/>
  <c r="H794" i="9"/>
  <c r="H795" i="9" a="1"/>
  <c r="H795" i="9" s="1"/>
  <c r="H796" i="9" a="1"/>
  <c r="H796" i="9"/>
  <c r="H797" i="9" a="1"/>
  <c r="H797" i="9"/>
  <c r="H798" i="9" a="1"/>
  <c r="H798" i="9"/>
  <c r="H799" i="9" a="1"/>
  <c r="H799" i="9"/>
  <c r="H800" i="9" a="1"/>
  <c r="H800" i="9"/>
  <c r="H801" i="9" a="1"/>
  <c r="H801" i="9" s="1"/>
  <c r="H802" i="9" a="1"/>
  <c r="H802" i="9" s="1"/>
  <c r="H803" i="9" a="1"/>
  <c r="H803" i="9" s="1"/>
  <c r="H804" i="9" a="1"/>
  <c r="H804" i="9"/>
  <c r="H805" i="9" a="1"/>
  <c r="H805" i="9"/>
  <c r="H806" i="9" a="1"/>
  <c r="H806" i="9"/>
  <c r="H807" i="9" a="1"/>
  <c r="H807" i="9"/>
  <c r="H808" i="9" a="1"/>
  <c r="H808" i="9"/>
  <c r="H809" i="9" a="1"/>
  <c r="H809" i="9"/>
  <c r="H810" i="9" a="1"/>
  <c r="H810" i="9"/>
  <c r="H811" i="9" a="1"/>
  <c r="H811" i="9" s="1"/>
  <c r="H812" i="9" a="1"/>
  <c r="H812" i="9"/>
  <c r="H813" i="9" a="1"/>
  <c r="H813" i="9"/>
  <c r="H814" i="9" a="1"/>
  <c r="H814" i="9"/>
  <c r="H815" i="9" a="1"/>
  <c r="H815" i="9"/>
  <c r="H816" i="9" a="1"/>
  <c r="H816" i="9"/>
  <c r="H817" i="9" a="1"/>
  <c r="H817" i="9"/>
  <c r="H818" i="9" a="1"/>
  <c r="H818" i="9" s="1"/>
  <c r="H819" i="9" a="1"/>
  <c r="H819" i="9" s="1"/>
  <c r="H820" i="9" a="1"/>
  <c r="H820" i="9"/>
  <c r="H821" i="9" a="1"/>
  <c r="H821" i="9"/>
  <c r="H822" i="9" a="1"/>
  <c r="H822" i="9"/>
  <c r="H823" i="9" a="1"/>
  <c r="H823" i="9"/>
  <c r="H824" i="9" a="1"/>
  <c r="H824" i="9"/>
  <c r="H825" i="9" a="1"/>
  <c r="H825" i="9"/>
  <c r="H826" i="9" a="1"/>
  <c r="H826" i="9"/>
  <c r="H827" i="9" a="1"/>
  <c r="H827" i="9" s="1"/>
  <c r="H828" i="9" a="1"/>
  <c r="H828" i="9" s="1"/>
  <c r="H829" i="9" a="1"/>
  <c r="H829" i="9"/>
  <c r="H830" i="9" a="1"/>
  <c r="H830" i="9"/>
  <c r="H831" i="9" a="1"/>
  <c r="H831" i="9"/>
  <c r="H832" i="9" a="1"/>
  <c r="H832" i="9"/>
  <c r="H833" i="9" a="1"/>
  <c r="H833" i="9"/>
  <c r="H834" i="9" a="1"/>
  <c r="H834" i="9"/>
  <c r="H835" i="9" a="1"/>
  <c r="H835" i="9" s="1"/>
  <c r="H836" i="9" a="1"/>
  <c r="H836" i="9"/>
  <c r="H837" i="9" a="1"/>
  <c r="H837" i="9"/>
  <c r="H838" i="9" a="1"/>
  <c r="H838" i="9"/>
  <c r="H839" i="9" a="1"/>
  <c r="H839" i="9"/>
  <c r="H840" i="9" a="1"/>
  <c r="H840" i="9"/>
  <c r="H841" i="9" a="1"/>
  <c r="H841" i="9"/>
  <c r="H842" i="9" a="1"/>
  <c r="H842" i="9"/>
  <c r="H843" i="9" a="1"/>
  <c r="H843" i="9" s="1"/>
  <c r="H844" i="9" a="1"/>
  <c r="H844" i="9" s="1"/>
  <c r="H845" i="9" a="1"/>
  <c r="H845" i="9" s="1"/>
  <c r="H846" i="9" a="1"/>
  <c r="H846" i="9"/>
  <c r="H847" i="9" a="1"/>
  <c r="H847" i="9"/>
  <c r="H848" i="9" a="1"/>
  <c r="H848" i="9"/>
  <c r="H849" i="9" a="1"/>
  <c r="H849" i="9"/>
  <c r="H850" i="9" a="1"/>
  <c r="H850" i="9"/>
  <c r="H851" i="9" a="1"/>
  <c r="H851" i="9" s="1"/>
  <c r="H852" i="9" a="1"/>
  <c r="H852" i="9"/>
  <c r="H853" i="9" a="1"/>
  <c r="H853" i="9"/>
  <c r="H854" i="9" a="1"/>
  <c r="H854" i="9"/>
  <c r="H855" i="9" a="1"/>
  <c r="H855" i="9"/>
  <c r="H856" i="9" a="1"/>
  <c r="H856" i="9"/>
  <c r="H857" i="9" a="1"/>
  <c r="H857" i="9"/>
  <c r="H858" i="9" a="1"/>
  <c r="H858" i="9"/>
  <c r="H859" i="9" a="1"/>
  <c r="H859" i="9" s="1"/>
  <c r="H860" i="9" a="1"/>
  <c r="H860" i="9"/>
  <c r="H861" i="9" a="1"/>
  <c r="H861" i="9" s="1"/>
  <c r="H862" i="9" a="1"/>
  <c r="H862" i="9" s="1"/>
  <c r="H863" i="9" a="1"/>
  <c r="H863" i="9"/>
  <c r="H864" i="9" a="1"/>
  <c r="H864" i="9"/>
  <c r="H865" i="9" a="1"/>
  <c r="H865" i="9"/>
  <c r="H866" i="9" a="1"/>
  <c r="H866" i="9"/>
  <c r="H867" i="9" a="1"/>
  <c r="H867" i="9"/>
  <c r="H868" i="9" a="1"/>
  <c r="H868" i="9"/>
  <c r="H869" i="9" a="1"/>
  <c r="H869" i="9" s="1"/>
  <c r="H870" i="9" a="1"/>
  <c r="H870" i="9" s="1"/>
  <c r="H871" i="9" a="1"/>
  <c r="H871" i="9"/>
  <c r="H872" i="9" a="1"/>
  <c r="H872" i="9"/>
  <c r="H873" i="9" a="1"/>
  <c r="H873" i="9"/>
  <c r="H874" i="9" a="1"/>
  <c r="H874" i="9"/>
  <c r="H875" i="9" a="1"/>
  <c r="H875" i="9"/>
  <c r="H876" i="9" a="1"/>
  <c r="H876" i="9"/>
  <c r="H877" i="9" a="1"/>
  <c r="H877" i="9" s="1"/>
  <c r="H878" i="9" a="1"/>
  <c r="H878" i="9" s="1"/>
  <c r="H879" i="9" a="1"/>
  <c r="H879" i="9"/>
  <c r="H880" i="9" a="1"/>
  <c r="H880" i="9"/>
  <c r="H881" i="9" a="1"/>
  <c r="H881" i="9"/>
  <c r="H882" i="9" a="1"/>
  <c r="H882" i="9"/>
  <c r="H883" i="9" a="1"/>
  <c r="H883" i="9"/>
  <c r="H884" i="9" a="1"/>
  <c r="H884" i="9"/>
  <c r="H885" i="9" a="1"/>
  <c r="H885" i="9" s="1"/>
  <c r="H886" i="9" a="1"/>
  <c r="H886" i="9" s="1"/>
  <c r="H887" i="9" a="1"/>
  <c r="H887" i="9"/>
  <c r="H888" i="9" a="1"/>
  <c r="H888" i="9"/>
  <c r="H889" i="9" a="1"/>
  <c r="H889" i="9"/>
  <c r="H890" i="9" a="1"/>
  <c r="H890" i="9"/>
  <c r="H891" i="9" a="1"/>
  <c r="H891" i="9"/>
  <c r="H892" i="9" a="1"/>
  <c r="H892" i="9"/>
  <c r="H893" i="9" a="1"/>
  <c r="H893" i="9" s="1"/>
  <c r="H894" i="9" a="1"/>
  <c r="H894" i="9" s="1"/>
  <c r="H895" i="9" a="1"/>
  <c r="H895" i="9"/>
  <c r="H896" i="9" a="1"/>
  <c r="H896" i="9"/>
  <c r="H897" i="9" a="1"/>
  <c r="H897" i="9"/>
  <c r="H898" i="9" a="1"/>
  <c r="H898" i="9"/>
  <c r="H899" i="9" a="1"/>
  <c r="H899" i="9"/>
  <c r="H900" i="9" a="1"/>
  <c r="H900" i="9"/>
  <c r="H901" i="9" a="1"/>
  <c r="H901" i="9" s="1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G14" i="13"/>
  <c r="H29" i="13"/>
  <c r="H26" i="13"/>
  <c r="D9" i="13"/>
  <c r="G16" i="13" s="1"/>
  <c r="D8" i="13"/>
  <c r="H8" i="13" s="1"/>
  <c r="D7" i="13"/>
  <c r="H7" i="13" s="1"/>
  <c r="D18" i="13"/>
  <c r="H16" i="13"/>
  <c r="H15" i="13"/>
  <c r="H14" i="13"/>
  <c r="E14" i="13"/>
  <c r="F22" i="13" s="1"/>
  <c r="D11" i="13" l="1"/>
  <c r="F27" i="13" s="1"/>
  <c r="D12" i="13"/>
  <c r="F7" i="13"/>
  <c r="F23" i="13"/>
  <c r="F9" i="13"/>
  <c r="H9" i="13"/>
  <c r="F8" i="13"/>
  <c r="H11" i="13"/>
  <c r="D22" i="13"/>
  <c r="H22" i="13" s="1"/>
  <c r="G18" i="13"/>
  <c r="D23" i="13"/>
  <c r="H23" i="13" s="1"/>
  <c r="H12" i="13"/>
  <c r="F363" i="7"/>
  <c r="G363" i="7"/>
  <c r="E363" i="7"/>
  <c r="C363" i="7"/>
  <c r="F30" i="13" l="1"/>
  <c r="F28" i="13"/>
  <c r="G32" i="13" l="1"/>
  <c r="G3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<sst xmlns="http://schemas.openxmlformats.org/spreadsheetml/2006/main" count="10978" uniqueCount="2933">
  <si>
    <t>DAM-001</t>
  </si>
  <si>
    <t>DAM-002</t>
  </si>
  <si>
    <t>DAM-003</t>
  </si>
  <si>
    <t>DAM-004</t>
  </si>
  <si>
    <t>DAM-005</t>
  </si>
  <si>
    <t>DAM-006</t>
  </si>
  <si>
    <t>Muda Dam</t>
  </si>
  <si>
    <t>Pedu Dam</t>
  </si>
  <si>
    <t>Ahning Dam</t>
  </si>
  <si>
    <t>Beris Dam</t>
  </si>
  <si>
    <t>Malut Dam</t>
  </si>
  <si>
    <t>Bukit Merah</t>
  </si>
  <si>
    <t>Sik</t>
  </si>
  <si>
    <t>Jitra</t>
  </si>
  <si>
    <t>Kulim</t>
  </si>
  <si>
    <t>Gurun</t>
  </si>
  <si>
    <t>Yan</t>
  </si>
  <si>
    <t>Alor Setar</t>
  </si>
  <si>
    <t>Location</t>
  </si>
  <si>
    <t>Month</t>
  </si>
  <si>
    <t>WTP-001</t>
  </si>
  <si>
    <t>WTP-002</t>
  </si>
  <si>
    <t>WTP-003</t>
  </si>
  <si>
    <t>WTP-004</t>
  </si>
  <si>
    <t>WTP-005</t>
  </si>
  <si>
    <t>WTP-006</t>
  </si>
  <si>
    <t>WTP-007</t>
  </si>
  <si>
    <t>WTP-008</t>
  </si>
  <si>
    <t>Bukit Pinang WTP</t>
  </si>
  <si>
    <t>Muda WTP</t>
  </si>
  <si>
    <t>Pedu WTP</t>
  </si>
  <si>
    <t>Ahning WTP</t>
  </si>
  <si>
    <t>Beris WTP</t>
  </si>
  <si>
    <t>Malut WTP</t>
  </si>
  <si>
    <t>Northern Booster WTP</t>
  </si>
  <si>
    <t>Coastal WTP</t>
  </si>
  <si>
    <t>Kuala Kedah</t>
  </si>
  <si>
    <t>Langkawi</t>
  </si>
  <si>
    <t>DMA-001</t>
  </si>
  <si>
    <t>DMA-002</t>
  </si>
  <si>
    <t>DMA-003</t>
  </si>
  <si>
    <t>DMA-004</t>
  </si>
  <si>
    <t>DMA-005</t>
  </si>
  <si>
    <t>DMA-006</t>
  </si>
  <si>
    <t>DMA-007</t>
  </si>
  <si>
    <t>DMA-008</t>
  </si>
  <si>
    <t>DMA-009</t>
  </si>
  <si>
    <t>DMA-010</t>
  </si>
  <si>
    <t>DMA-011</t>
  </si>
  <si>
    <t>DMA-012</t>
  </si>
  <si>
    <t>DMA-013</t>
  </si>
  <si>
    <t>Pokok Sena</t>
  </si>
  <si>
    <t>DMA-014</t>
  </si>
  <si>
    <t>DMA-015</t>
  </si>
  <si>
    <t>Connections</t>
  </si>
  <si>
    <t>Cause</t>
  </si>
  <si>
    <t>Material</t>
  </si>
  <si>
    <t>Pipe Crack</t>
  </si>
  <si>
    <t>AC</t>
  </si>
  <si>
    <t>Reported</t>
  </si>
  <si>
    <t>LEAK-10001</t>
  </si>
  <si>
    <t>Valve Leak</t>
  </si>
  <si>
    <t>Steel</t>
  </si>
  <si>
    <t>Contractor X</t>
  </si>
  <si>
    <t>LEAK-10002</t>
  </si>
  <si>
    <t>Third-party Damage</t>
  </si>
  <si>
    <t>Acoustic</t>
  </si>
  <si>
    <t>LEAK-10003</t>
  </si>
  <si>
    <t>Corrosion</t>
  </si>
  <si>
    <t>HDPE</t>
  </si>
  <si>
    <t>Pressure Drop</t>
  </si>
  <si>
    <t>Ops A</t>
  </si>
  <si>
    <t>LEAK-10004</t>
  </si>
  <si>
    <t>Ductile Iron</t>
  </si>
  <si>
    <t>Ops B</t>
  </si>
  <si>
    <t>LEAK-10005</t>
  </si>
  <si>
    <t>Joint Failure</t>
  </si>
  <si>
    <t>Routine Inspection</t>
  </si>
  <si>
    <t>LEAK-10006</t>
  </si>
  <si>
    <t>Aging</t>
  </si>
  <si>
    <t>LEAK-10007</t>
  </si>
  <si>
    <t>LEAK-10008</t>
  </si>
  <si>
    <t>LEAK-10009</t>
  </si>
  <si>
    <t>PVC</t>
  </si>
  <si>
    <t>LEAK-10012</t>
  </si>
  <si>
    <t>LEAK-10013</t>
  </si>
  <si>
    <t>LEAK-10014</t>
  </si>
  <si>
    <t>LEAK-10015</t>
  </si>
  <si>
    <t>LEAK-10016</t>
  </si>
  <si>
    <t>Smart Sensor</t>
  </si>
  <si>
    <t>LEAK-10017</t>
  </si>
  <si>
    <t>Burst Pipe</t>
  </si>
  <si>
    <t>LEAK-10018</t>
  </si>
  <si>
    <t>LEAK-10021</t>
  </si>
  <si>
    <t>LEAK-10022</t>
  </si>
  <si>
    <t>LEAK-10023</t>
  </si>
  <si>
    <t>LEAK-10024</t>
  </si>
  <si>
    <t>LEAK-10026</t>
  </si>
  <si>
    <t>LEAK-10027</t>
  </si>
  <si>
    <t>LEAK-10028</t>
  </si>
  <si>
    <t>LEAK-10029</t>
  </si>
  <si>
    <t>LEAK-10030</t>
  </si>
  <si>
    <t>LEAK-10031</t>
  </si>
  <si>
    <t>LEAK-10032</t>
  </si>
  <si>
    <t>LEAK-10033</t>
  </si>
  <si>
    <t>LEAK-10034</t>
  </si>
  <si>
    <t>LEAK-10035</t>
  </si>
  <si>
    <t>LEAK-10036</t>
  </si>
  <si>
    <t>LEAK-10037</t>
  </si>
  <si>
    <t>LEAK-10038</t>
  </si>
  <si>
    <t>LEAK-10039</t>
  </si>
  <si>
    <t>LEAK-10040</t>
  </si>
  <si>
    <t>LEAK-10042</t>
  </si>
  <si>
    <t>LEAK-10043</t>
  </si>
  <si>
    <t>LEAK-10044</t>
  </si>
  <si>
    <t>LEAK-10045</t>
  </si>
  <si>
    <t>LEAK-10046</t>
  </si>
  <si>
    <t>LEAK-10047</t>
  </si>
  <si>
    <t>LEAK-10052</t>
  </si>
  <si>
    <t>LEAK-10053</t>
  </si>
  <si>
    <t>LEAK-10054</t>
  </si>
  <si>
    <t>LEAK-10056</t>
  </si>
  <si>
    <t>LEAK-10057</t>
  </si>
  <si>
    <t>LEAK-10058</t>
  </si>
  <si>
    <t>LEAK-10060</t>
  </si>
  <si>
    <t>LEAK-10061</t>
  </si>
  <si>
    <t>LEAK-10062</t>
  </si>
  <si>
    <t>LEAK-10063</t>
  </si>
  <si>
    <t>LEAK-10064</t>
  </si>
  <si>
    <t>LEAK-10067</t>
  </si>
  <si>
    <t>LEAK-10068</t>
  </si>
  <si>
    <t>LEAK-10069</t>
  </si>
  <si>
    <t>LEAK-10070</t>
  </si>
  <si>
    <t>LEAK-10071</t>
  </si>
  <si>
    <t>LEAK-10072</t>
  </si>
  <si>
    <t>LEAK-10074</t>
  </si>
  <si>
    <t>LEAK-10077</t>
  </si>
  <si>
    <t>LEAK-10078</t>
  </si>
  <si>
    <t>LEAK-10080</t>
  </si>
  <si>
    <t>LEAK-10081</t>
  </si>
  <si>
    <t>LEAK-10082</t>
  </si>
  <si>
    <t>LEAK-10083</t>
  </si>
  <si>
    <t>LEAK-10084</t>
  </si>
  <si>
    <t>LEAK-10085</t>
  </si>
  <si>
    <t>LEAK-10086</t>
  </si>
  <si>
    <t>LEAK-10087</t>
  </si>
  <si>
    <t>LEAK-10090</t>
  </si>
  <si>
    <t>LEAK-10091</t>
  </si>
  <si>
    <t>LEAK-10092</t>
  </si>
  <si>
    <t>LEAK-10093</t>
  </si>
  <si>
    <t>LEAK-10095</t>
  </si>
  <si>
    <t>LEAK-10096</t>
  </si>
  <si>
    <t>LEAK-10097</t>
  </si>
  <si>
    <t>LEAK-10098</t>
  </si>
  <si>
    <t>LEAK-10099</t>
  </si>
  <si>
    <t>LEAK-10100</t>
  </si>
  <si>
    <t>LEAK-10102</t>
  </si>
  <si>
    <t>LEAK-10103</t>
  </si>
  <si>
    <t>LEAK-10105</t>
  </si>
  <si>
    <t>LEAK-10106</t>
  </si>
  <si>
    <t>LEAK-10108</t>
  </si>
  <si>
    <t>LEAK-10109</t>
  </si>
  <si>
    <t>LEAK-10112</t>
  </si>
  <si>
    <t>LEAK-10113</t>
  </si>
  <si>
    <t>LEAK-10114</t>
  </si>
  <si>
    <t>LEAK-10115</t>
  </si>
  <si>
    <t>LEAK-10116</t>
  </si>
  <si>
    <t>LEAK-10118</t>
  </si>
  <si>
    <t>LEAK-10119</t>
  </si>
  <si>
    <t>LEAK-10120</t>
  </si>
  <si>
    <t>LEAK-10122</t>
  </si>
  <si>
    <t>LEAK-10124</t>
  </si>
  <si>
    <t>LEAK-10126</t>
  </si>
  <si>
    <t>LEAK-10127</t>
  </si>
  <si>
    <t>LEAK-10128</t>
  </si>
  <si>
    <t>LEAK-10130</t>
  </si>
  <si>
    <t>LEAK-10131</t>
  </si>
  <si>
    <t>LEAK-10132</t>
  </si>
  <si>
    <t>LEAK-10133</t>
  </si>
  <si>
    <t>LEAK-10134</t>
  </si>
  <si>
    <t>LEAK-10136</t>
  </si>
  <si>
    <t>LEAK-10138</t>
  </si>
  <si>
    <t>LEAK-10139</t>
  </si>
  <si>
    <t>LEAK-10140</t>
  </si>
  <si>
    <t>LEAK-10141</t>
  </si>
  <si>
    <t>LEAK-10142</t>
  </si>
  <si>
    <t>LEAK-10143</t>
  </si>
  <si>
    <t>LEAK-10144</t>
  </si>
  <si>
    <t>LEAK-10145</t>
  </si>
  <si>
    <t>LEAK-10149</t>
  </si>
  <si>
    <t>LEAK-10151</t>
  </si>
  <si>
    <t>LEAK-10153</t>
  </si>
  <si>
    <t>LEAK-10155</t>
  </si>
  <si>
    <t>LEAK-10156</t>
  </si>
  <si>
    <t>LEAK-10159</t>
  </si>
  <si>
    <t>LEAK-10160</t>
  </si>
  <si>
    <t>LEAK-10162</t>
  </si>
  <si>
    <t>LEAK-10163</t>
  </si>
  <si>
    <t>LEAK-10164</t>
  </si>
  <si>
    <t>LEAK-10165</t>
  </si>
  <si>
    <t>LEAK-10166</t>
  </si>
  <si>
    <t>LEAK-10167</t>
  </si>
  <si>
    <t>LEAK-10168</t>
  </si>
  <si>
    <t>LEAK-10169</t>
  </si>
  <si>
    <t>LEAK-10170</t>
  </si>
  <si>
    <t>LEAK-10171</t>
  </si>
  <si>
    <t>LEAK-10173</t>
  </si>
  <si>
    <t>LEAK-10174</t>
  </si>
  <si>
    <t>LEAK-10175</t>
  </si>
  <si>
    <t>LEAK-10176</t>
  </si>
  <si>
    <t>LEAK-10177</t>
  </si>
  <si>
    <t>LEAK-10178</t>
  </si>
  <si>
    <t>LEAK-10179</t>
  </si>
  <si>
    <t>LEAK-10180</t>
  </si>
  <si>
    <t>LEAK-10181</t>
  </si>
  <si>
    <t>LEAK-10182</t>
  </si>
  <si>
    <t>LEAK-10184</t>
  </si>
  <si>
    <t>LEAK-10186</t>
  </si>
  <si>
    <t>LEAK-10187</t>
  </si>
  <si>
    <t>LEAK-10188</t>
  </si>
  <si>
    <t>LEAK-10189</t>
  </si>
  <si>
    <t>LEAK-10190</t>
  </si>
  <si>
    <t>LEAK-10191</t>
  </si>
  <si>
    <t>LEAK-10193</t>
  </si>
  <si>
    <t>LEAK-10194</t>
  </si>
  <si>
    <t>LEAK-10196</t>
  </si>
  <si>
    <t>LEAK-10197</t>
  </si>
  <si>
    <t>LEAK-10198</t>
  </si>
  <si>
    <t>LEAK-10199</t>
  </si>
  <si>
    <t>LEAK-10200</t>
  </si>
  <si>
    <t>LEAK-10201</t>
  </si>
  <si>
    <t>LEAK-10202</t>
  </si>
  <si>
    <t>LEAK-10203</t>
  </si>
  <si>
    <t>LEAK-10204</t>
  </si>
  <si>
    <t>LEAK-10205</t>
  </si>
  <si>
    <t>LEAK-10206</t>
  </si>
  <si>
    <t>LEAK-10207</t>
  </si>
  <si>
    <t>LEAK-10208</t>
  </si>
  <si>
    <t>LEAK-10210</t>
  </si>
  <si>
    <t>LEAK-10211</t>
  </si>
  <si>
    <t>LEAK-10213</t>
  </si>
  <si>
    <t>LEAK-10214</t>
  </si>
  <si>
    <t>LEAK-10215</t>
  </si>
  <si>
    <t>LEAK-10216</t>
  </si>
  <si>
    <t>LEAK-10220</t>
  </si>
  <si>
    <t>LEAK-10221</t>
  </si>
  <si>
    <t>LEAK-10222</t>
  </si>
  <si>
    <t>LEAK-10223</t>
  </si>
  <si>
    <t>LEAK-10225</t>
  </si>
  <si>
    <t>LEAK-10226</t>
  </si>
  <si>
    <t>LEAK-10228</t>
  </si>
  <si>
    <t>LEAK-10229</t>
  </si>
  <si>
    <t>LEAK-10230</t>
  </si>
  <si>
    <t>LEAK-10231</t>
  </si>
  <si>
    <t>LEAK-10232</t>
  </si>
  <si>
    <t>LEAK-10233</t>
  </si>
  <si>
    <t>LEAK-10234</t>
  </si>
  <si>
    <t>LEAK-10235</t>
  </si>
  <si>
    <t>LEAK-10237</t>
  </si>
  <si>
    <t>LEAK-10238</t>
  </si>
  <si>
    <t>LEAK-10239</t>
  </si>
  <si>
    <t>LEAK-10240</t>
  </si>
  <si>
    <t>LEAK-10241</t>
  </si>
  <si>
    <t>LEAK-10242</t>
  </si>
  <si>
    <t>LEAK-10243</t>
  </si>
  <si>
    <t>LEAK-10244</t>
  </si>
  <si>
    <t>LEAK-10245</t>
  </si>
  <si>
    <t>LEAK-10246</t>
  </si>
  <si>
    <t>LEAK-10248</t>
  </si>
  <si>
    <t>LEAK-10251</t>
  </si>
  <si>
    <t>LEAK-10254</t>
  </si>
  <si>
    <t>LEAK-10255</t>
  </si>
  <si>
    <t>LEAK-10256</t>
  </si>
  <si>
    <t>LEAK-10257</t>
  </si>
  <si>
    <t>LEAK-10258</t>
  </si>
  <si>
    <t>LEAK-10259</t>
  </si>
  <si>
    <t>LEAK-10261</t>
  </si>
  <si>
    <t>LEAK-10262</t>
  </si>
  <si>
    <t>LEAK-10264</t>
  </si>
  <si>
    <t>LEAK-10265</t>
  </si>
  <si>
    <t>LEAK-10266</t>
  </si>
  <si>
    <t>LEAK-10267</t>
  </si>
  <si>
    <t>LEAK-10268</t>
  </si>
  <si>
    <t>LEAK-10269</t>
  </si>
  <si>
    <t>LEAK-10270</t>
  </si>
  <si>
    <t>LEAK-10271</t>
  </si>
  <si>
    <t>LEAK-10272</t>
  </si>
  <si>
    <t>LEAK-10274</t>
  </si>
  <si>
    <t>LEAK-10275</t>
  </si>
  <si>
    <t>LEAK-10276</t>
  </si>
  <si>
    <t>LEAK-10278</t>
  </si>
  <si>
    <t>LEAK-10279</t>
  </si>
  <si>
    <t>LEAK-10280</t>
  </si>
  <si>
    <t>LEAK-10281</t>
  </si>
  <si>
    <t>LEAK-10282</t>
  </si>
  <si>
    <t>LEAK-10284</t>
  </si>
  <si>
    <t>LEAK-10285</t>
  </si>
  <si>
    <t>LEAK-10288</t>
  </si>
  <si>
    <t>LEAK-10289</t>
  </si>
  <si>
    <t>LEAK-10290</t>
  </si>
  <si>
    <t>LEAK-10291</t>
  </si>
  <si>
    <t>LEAK-10292</t>
  </si>
  <si>
    <t>LEAK-10294</t>
  </si>
  <si>
    <t>LEAK-10295</t>
  </si>
  <si>
    <t>LEAK-10298</t>
  </si>
  <si>
    <t>LEAK-10299</t>
  </si>
  <si>
    <t>LEAK-10300</t>
  </si>
  <si>
    <t>LEAK-10301</t>
  </si>
  <si>
    <t>LEAK-10303</t>
  </si>
  <si>
    <t>LEAK-10304</t>
  </si>
  <si>
    <t>LEAK-10305</t>
  </si>
  <si>
    <t>LEAK-10306</t>
  </si>
  <si>
    <t>LEAK-10307</t>
  </si>
  <si>
    <t>LEAK-10309</t>
  </si>
  <si>
    <t>LEAK-10310</t>
  </si>
  <si>
    <t>LEAK-10311</t>
  </si>
  <si>
    <t>LEAK-10312</t>
  </si>
  <si>
    <t>LEAK-10314</t>
  </si>
  <si>
    <t>LEAK-10315</t>
  </si>
  <si>
    <t>LEAK-10316</t>
  </si>
  <si>
    <t>LEAK-10317</t>
  </si>
  <si>
    <t>LEAK-10318</t>
  </si>
  <si>
    <t>LEAK-10321</t>
  </si>
  <si>
    <t>LEAK-10322</t>
  </si>
  <si>
    <t>LEAK-10324</t>
  </si>
  <si>
    <t>LEAK-10325</t>
  </si>
  <si>
    <t>LEAK-10326</t>
  </si>
  <si>
    <t>LEAK-10328</t>
  </si>
  <si>
    <t>LEAK-10329</t>
  </si>
  <si>
    <t>LEAK-10330</t>
  </si>
  <si>
    <t>LEAK-10331</t>
  </si>
  <si>
    <t>LEAK-10332</t>
  </si>
  <si>
    <t>LEAK-10336</t>
  </si>
  <si>
    <t>LEAK-10337</t>
  </si>
  <si>
    <t>LEAK-10338</t>
  </si>
  <si>
    <t>LEAK-10339</t>
  </si>
  <si>
    <t>LEAK-10341</t>
  </si>
  <si>
    <t>LEAK-10342</t>
  </si>
  <si>
    <t>LEAK-10343</t>
  </si>
  <si>
    <t>LEAK-10344</t>
  </si>
  <si>
    <t>LEAK-10345</t>
  </si>
  <si>
    <t>LEAK-10346</t>
  </si>
  <si>
    <t>LEAK-10347</t>
  </si>
  <si>
    <t>LEAK-10348</t>
  </si>
  <si>
    <t>LEAK-10351</t>
  </si>
  <si>
    <t>LEAK-10352</t>
  </si>
  <si>
    <t>LEAK-10354</t>
  </si>
  <si>
    <t>LEAK-10355</t>
  </si>
  <si>
    <t>LEAK-10356</t>
  </si>
  <si>
    <t>LEAK-10358</t>
  </si>
  <si>
    <t>LEAK-10359</t>
  </si>
  <si>
    <t>LEAK-10360</t>
  </si>
  <si>
    <t>LEAK-10361</t>
  </si>
  <si>
    <t>LEAK-10362</t>
  </si>
  <si>
    <t>LEAK-10363</t>
  </si>
  <si>
    <t>LEAK-10365</t>
  </si>
  <si>
    <t>LEAK-10366</t>
  </si>
  <si>
    <t>LEAK-10367</t>
  </si>
  <si>
    <t>LEAK-10368</t>
  </si>
  <si>
    <t>LEAK-10369</t>
  </si>
  <si>
    <t>LEAK-10371</t>
  </si>
  <si>
    <t>LEAK-10372</t>
  </si>
  <si>
    <t>LEAK-10373</t>
  </si>
  <si>
    <t>LEAK-10374</t>
  </si>
  <si>
    <t>LEAK-10375</t>
  </si>
  <si>
    <t>LEAK-10376</t>
  </si>
  <si>
    <t>LEAK-10377</t>
  </si>
  <si>
    <t>LEAK-10378</t>
  </si>
  <si>
    <t>LEAK-10379</t>
  </si>
  <si>
    <t>LEAK-10380</t>
  </si>
  <si>
    <t>LEAK-10381</t>
  </si>
  <si>
    <t>LEAK-10382</t>
  </si>
  <si>
    <t>LEAK-10385</t>
  </si>
  <si>
    <t>LEAK-10386</t>
  </si>
  <si>
    <t>LEAK-10387</t>
  </si>
  <si>
    <t>LEAK-10388</t>
  </si>
  <si>
    <t>LEAK-10390</t>
  </si>
  <si>
    <t>LEAK-10391</t>
  </si>
  <si>
    <t>LEAK-10392</t>
  </si>
  <si>
    <t>LEAK-10393</t>
  </si>
  <si>
    <t>LEAK-10394</t>
  </si>
  <si>
    <t>LEAK-10395</t>
  </si>
  <si>
    <t>LEAK-10396</t>
  </si>
  <si>
    <t>LEAK-10397</t>
  </si>
  <si>
    <t>LEAK-10399</t>
  </si>
  <si>
    <t>LEAK-10400</t>
  </si>
  <si>
    <t>LEAK-10401</t>
  </si>
  <si>
    <t>LEAK-10402</t>
  </si>
  <si>
    <t>LEAK-10404</t>
  </si>
  <si>
    <t>LEAK-10405</t>
  </si>
  <si>
    <t>LEAK-10406</t>
  </si>
  <si>
    <t>LEAK-10408</t>
  </si>
  <si>
    <t>LEAK-10409</t>
  </si>
  <si>
    <t>LEAK-10410</t>
  </si>
  <si>
    <t>LEAK-10411</t>
  </si>
  <si>
    <t>LEAK-10413</t>
  </si>
  <si>
    <t>LEAK-10415</t>
  </si>
  <si>
    <t>LEAK-10416</t>
  </si>
  <si>
    <t>LEAK-10418</t>
  </si>
  <si>
    <t>LEAK-10419</t>
  </si>
  <si>
    <t>LEAK-10420</t>
  </si>
  <si>
    <t>LEAK-10421</t>
  </si>
  <si>
    <t>LEAK-10422</t>
  </si>
  <si>
    <t>LEAK-10423</t>
  </si>
  <si>
    <t>LEAK-10425</t>
  </si>
  <si>
    <t>LEAK-10426</t>
  </si>
  <si>
    <t>LEAK-10427</t>
  </si>
  <si>
    <t>LEAK-10429</t>
  </si>
  <si>
    <t>LEAK-10432</t>
  </si>
  <si>
    <t>LEAK-10433</t>
  </si>
  <si>
    <t>LEAK-10434</t>
  </si>
  <si>
    <t>LEAK-10436</t>
  </si>
  <si>
    <t>LEAK-10437</t>
  </si>
  <si>
    <t>LEAK-10438</t>
  </si>
  <si>
    <t>LEAK-10439</t>
  </si>
  <si>
    <t>LEAK-10440</t>
  </si>
  <si>
    <t>LEAK-10441</t>
  </si>
  <si>
    <t>LEAK-10442</t>
  </si>
  <si>
    <t>LEAK-10443</t>
  </si>
  <si>
    <t>LEAK-10444</t>
  </si>
  <si>
    <t>LEAK-10446</t>
  </si>
  <si>
    <t>LEAK-10447</t>
  </si>
  <si>
    <t>LEAK-10448</t>
  </si>
  <si>
    <t>LEAK-10449</t>
  </si>
  <si>
    <t>LEAK-10450</t>
  </si>
  <si>
    <t>LEAK-10451</t>
  </si>
  <si>
    <t>LEAK-10452</t>
  </si>
  <si>
    <t>LEAK-10453</t>
  </si>
  <si>
    <t>LEAK-10454</t>
  </si>
  <si>
    <t>LEAK-10456</t>
  </si>
  <si>
    <t>LEAK-10457</t>
  </si>
  <si>
    <t>LEAK-10458</t>
  </si>
  <si>
    <t>LEAK-10459</t>
  </si>
  <si>
    <t>LEAK-10461</t>
  </si>
  <si>
    <t>LEAK-10462</t>
  </si>
  <si>
    <t>LEAK-10463</t>
  </si>
  <si>
    <t>LEAK-10464</t>
  </si>
  <si>
    <t>LEAK-10465</t>
  </si>
  <si>
    <t>LEAK-10466</t>
  </si>
  <si>
    <t>LEAK-10467</t>
  </si>
  <si>
    <t>LEAK-10468</t>
  </si>
  <si>
    <t>LEAK-10469</t>
  </si>
  <si>
    <t>LEAK-10470</t>
  </si>
  <si>
    <t>LEAK-10471</t>
  </si>
  <si>
    <t>LEAK-10472</t>
  </si>
  <si>
    <t>LEAK-10473</t>
  </si>
  <si>
    <t>LEAK-10474</t>
  </si>
  <si>
    <t>LEAK-10475</t>
  </si>
  <si>
    <t>LEAK-10476</t>
  </si>
  <si>
    <t>LEAK-10477</t>
  </si>
  <si>
    <t>LEAK-10479</t>
  </si>
  <si>
    <t>LEAK-10482</t>
  </si>
  <si>
    <t>LEAK-10483</t>
  </si>
  <si>
    <t>LEAK-10484</t>
  </si>
  <si>
    <t>LEAK-10485</t>
  </si>
  <si>
    <t>LEAK-10486</t>
  </si>
  <si>
    <t>LEAK-10487</t>
  </si>
  <si>
    <t>LEAK-10488</t>
  </si>
  <si>
    <t>LEAK-10489</t>
  </si>
  <si>
    <t>LEAK-10490</t>
  </si>
  <si>
    <t>LEAK-10491</t>
  </si>
  <si>
    <t>LEAK-10492</t>
  </si>
  <si>
    <t>LEAK-10493</t>
  </si>
  <si>
    <t>LEAK-10494</t>
  </si>
  <si>
    <t>LEAK-10495</t>
  </si>
  <si>
    <t>LEAK-10496</t>
  </si>
  <si>
    <t>LEAK-10497</t>
  </si>
  <si>
    <t>LEAK-10498</t>
  </si>
  <si>
    <t>LEAK-10499</t>
  </si>
  <si>
    <t>LEAK-10500</t>
  </si>
  <si>
    <t>LEAK-10501</t>
  </si>
  <si>
    <t>LEAK-10502</t>
  </si>
  <si>
    <t>LEAK-10503</t>
  </si>
  <si>
    <t>LEAK-10504</t>
  </si>
  <si>
    <t>LEAK-10505</t>
  </si>
  <si>
    <t>LEAK-10506</t>
  </si>
  <si>
    <t>LEAK-10508</t>
  </si>
  <si>
    <t>LEAK-10509</t>
  </si>
  <si>
    <t>LEAK-10510</t>
  </si>
  <si>
    <t>LEAK-10511</t>
  </si>
  <si>
    <t>LEAK-10512</t>
  </si>
  <si>
    <t>LEAK-10513</t>
  </si>
  <si>
    <t>LEAK-10516</t>
  </si>
  <si>
    <t>LEAK-10517</t>
  </si>
  <si>
    <t>LEAK-10518</t>
  </si>
  <si>
    <t>LEAK-10519</t>
  </si>
  <si>
    <t>LEAK-10520</t>
  </si>
  <si>
    <t>LEAK-10521</t>
  </si>
  <si>
    <t>LEAK-10522</t>
  </si>
  <si>
    <t>LEAK-10523</t>
  </si>
  <si>
    <t>LEAK-10524</t>
  </si>
  <si>
    <t>LEAK-10526</t>
  </si>
  <si>
    <t>LEAK-10527</t>
  </si>
  <si>
    <t>LEAK-10528</t>
  </si>
  <si>
    <t>LEAK-10529</t>
  </si>
  <si>
    <t>LEAK-10530</t>
  </si>
  <si>
    <t>LEAK-10531</t>
  </si>
  <si>
    <t>LEAK-10532</t>
  </si>
  <si>
    <t>LEAK-10533</t>
  </si>
  <si>
    <t>LEAK-10534</t>
  </si>
  <si>
    <t>LEAK-10535</t>
  </si>
  <si>
    <t>LEAK-10536</t>
  </si>
  <si>
    <t>LEAK-10538</t>
  </si>
  <si>
    <t>LEAK-10539</t>
  </si>
  <si>
    <t>LEAK-10540</t>
  </si>
  <si>
    <t>LEAK-10542</t>
  </si>
  <si>
    <t>LEAK-10543</t>
  </si>
  <si>
    <t>LEAK-10544</t>
  </si>
  <si>
    <t>LEAK-10545</t>
  </si>
  <si>
    <t>LEAK-10546</t>
  </si>
  <si>
    <t>LEAK-10547</t>
  </si>
  <si>
    <t>LEAK-10548</t>
  </si>
  <si>
    <t>LEAK-10549</t>
  </si>
  <si>
    <t>LEAK-10550</t>
  </si>
  <si>
    <t>LEAK-10551</t>
  </si>
  <si>
    <t>LEAK-10553</t>
  </si>
  <si>
    <t>LEAK-10554</t>
  </si>
  <si>
    <t>LEAK-10555</t>
  </si>
  <si>
    <t>LEAK-10556</t>
  </si>
  <si>
    <t>LEAK-10558</t>
  </si>
  <si>
    <t>LEAK-10559</t>
  </si>
  <si>
    <t>LEAK-10562</t>
  </si>
  <si>
    <t>LEAK-10563</t>
  </si>
  <si>
    <t>LEAK-10564</t>
  </si>
  <si>
    <t>LEAK-10565</t>
  </si>
  <si>
    <t>LEAK-10566</t>
  </si>
  <si>
    <t>LEAK-10567</t>
  </si>
  <si>
    <t>LEAK-10568</t>
  </si>
  <si>
    <t>LEAK-10569</t>
  </si>
  <si>
    <t>LEAK-10570</t>
  </si>
  <si>
    <t>LEAK-10571</t>
  </si>
  <si>
    <t>LEAK-10572</t>
  </si>
  <si>
    <t>LEAK-10573</t>
  </si>
  <si>
    <t>LEAK-10574</t>
  </si>
  <si>
    <t>LEAK-10575</t>
  </si>
  <si>
    <t>LEAK-10576</t>
  </si>
  <si>
    <t>LEAK-10577</t>
  </si>
  <si>
    <t>LEAK-10578</t>
  </si>
  <si>
    <t>LEAK-10580</t>
  </si>
  <si>
    <t>LEAK-10584</t>
  </si>
  <si>
    <t>LEAK-10586</t>
  </si>
  <si>
    <t>LEAK-10587</t>
  </si>
  <si>
    <t>LEAK-10588</t>
  </si>
  <si>
    <t>LEAK-10589</t>
  </si>
  <si>
    <t>LEAK-10590</t>
  </si>
  <si>
    <t>LEAK-10591</t>
  </si>
  <si>
    <t>LEAK-10592</t>
  </si>
  <si>
    <t>LEAK-10593</t>
  </si>
  <si>
    <t>LEAK-10594</t>
  </si>
  <si>
    <t>LEAK-10596</t>
  </si>
  <si>
    <t>LEAK-10597</t>
  </si>
  <si>
    <t>LEAK-10598</t>
  </si>
  <si>
    <t>LEAK-10599</t>
  </si>
  <si>
    <t>LEAK-10602</t>
  </si>
  <si>
    <t>LEAK-10603</t>
  </si>
  <si>
    <t>LEAK-10604</t>
  </si>
  <si>
    <t>LEAK-10605</t>
  </si>
  <si>
    <t>LEAK-10606</t>
  </si>
  <si>
    <t>LEAK-10608</t>
  </si>
  <si>
    <t>LEAK-10609</t>
  </si>
  <si>
    <t>LEAK-10610</t>
  </si>
  <si>
    <t>LEAK-10611</t>
  </si>
  <si>
    <t>LEAK-10612</t>
  </si>
  <si>
    <t>LEAK-10614</t>
  </si>
  <si>
    <t>LEAK-10615</t>
  </si>
  <si>
    <t>LEAK-10616</t>
  </si>
  <si>
    <t>LEAK-10617</t>
  </si>
  <si>
    <t>LEAK-10618</t>
  </si>
  <si>
    <t>LEAK-10621</t>
  </si>
  <si>
    <t>LEAK-10623</t>
  </si>
  <si>
    <t>LEAK-10625</t>
  </si>
  <si>
    <t>LEAK-10626</t>
  </si>
  <si>
    <t>LEAK-10627</t>
  </si>
  <si>
    <t>LEAK-10628</t>
  </si>
  <si>
    <t>LEAK-10629</t>
  </si>
  <si>
    <t>LEAK-10630</t>
  </si>
  <si>
    <t>LEAK-10631</t>
  </si>
  <si>
    <t>LEAK-10632</t>
  </si>
  <si>
    <t>LEAK-10633</t>
  </si>
  <si>
    <t>LEAK-10634</t>
  </si>
  <si>
    <t>LEAK-10635</t>
  </si>
  <si>
    <t>LEAK-10636</t>
  </si>
  <si>
    <t>LEAK-10637</t>
  </si>
  <si>
    <t>LEAK-10638</t>
  </si>
  <si>
    <t>LEAK-10639</t>
  </si>
  <si>
    <t>LEAK-10640</t>
  </si>
  <si>
    <t>LEAK-10642</t>
  </si>
  <si>
    <t>LEAK-10643</t>
  </si>
  <si>
    <t>LEAK-10644</t>
  </si>
  <si>
    <t>LEAK-10645</t>
  </si>
  <si>
    <t>LEAK-10646</t>
  </si>
  <si>
    <t>LEAK-10647</t>
  </si>
  <si>
    <t>LEAK-10648</t>
  </si>
  <si>
    <t>LEAK-10649</t>
  </si>
  <si>
    <t>LEAK-10651</t>
  </si>
  <si>
    <t>LEAK-10652</t>
  </si>
  <si>
    <t>LEAK-10653</t>
  </si>
  <si>
    <t>LEAK-10654</t>
  </si>
  <si>
    <t>LEAK-10655</t>
  </si>
  <si>
    <t>LEAK-10656</t>
  </si>
  <si>
    <t>LEAK-10657</t>
  </si>
  <si>
    <t>LEAK-10658</t>
  </si>
  <si>
    <t>LEAK-10659</t>
  </si>
  <si>
    <t>LEAK-10660</t>
  </si>
  <si>
    <t>LEAK-10664</t>
  </si>
  <si>
    <t>LEAK-10665</t>
  </si>
  <si>
    <t>LEAK-10667</t>
  </si>
  <si>
    <t>LEAK-10669</t>
  </si>
  <si>
    <t>LEAK-10670</t>
  </si>
  <si>
    <t>LEAK-10671</t>
  </si>
  <si>
    <t>LEAK-10672</t>
  </si>
  <si>
    <t>LEAK-10673</t>
  </si>
  <si>
    <t>LEAK-10674</t>
  </si>
  <si>
    <t>LEAK-10675</t>
  </si>
  <si>
    <t>LEAK-10676</t>
  </si>
  <si>
    <t>LEAK-10677</t>
  </si>
  <si>
    <t>LEAK-10678</t>
  </si>
  <si>
    <t>LEAK-10680</t>
  </si>
  <si>
    <t>LEAK-10681</t>
  </si>
  <si>
    <t>LEAK-10682</t>
  </si>
  <si>
    <t>LEAK-10683</t>
  </si>
  <si>
    <t>LEAK-10684</t>
  </si>
  <si>
    <t>LEAK-10686</t>
  </si>
  <si>
    <t>LEAK-10688</t>
  </si>
  <si>
    <t>LEAK-10689</t>
  </si>
  <si>
    <t>LEAK-10690</t>
  </si>
  <si>
    <t>LEAK-10691</t>
  </si>
  <si>
    <t>LEAK-10692</t>
  </si>
  <si>
    <t>LEAK-10693</t>
  </si>
  <si>
    <t>LEAK-10694</t>
  </si>
  <si>
    <t>LEAK-10695</t>
  </si>
  <si>
    <t>LEAK-10697</t>
  </si>
  <si>
    <t>LEAK-10698</t>
  </si>
  <si>
    <t>LEAK-10699</t>
  </si>
  <si>
    <t>LEAK-10700</t>
  </si>
  <si>
    <t>LEAK-10701</t>
  </si>
  <si>
    <t>LEAK-10702</t>
  </si>
  <si>
    <t>LEAK-10704</t>
  </si>
  <si>
    <t>LEAK-10705</t>
  </si>
  <si>
    <t>LEAK-10706</t>
  </si>
  <si>
    <t>LEAK-10707</t>
  </si>
  <si>
    <t>LEAK-10709</t>
  </si>
  <si>
    <t>LEAK-10711</t>
  </si>
  <si>
    <t>LEAK-10712</t>
  </si>
  <si>
    <t>LEAK-10713</t>
  </si>
  <si>
    <t>LEAK-10714</t>
  </si>
  <si>
    <t>LEAK-10715</t>
  </si>
  <si>
    <t>LEAK-10716</t>
  </si>
  <si>
    <t>LEAK-10717</t>
  </si>
  <si>
    <t>LEAK-10718</t>
  </si>
  <si>
    <t>LEAK-10719</t>
  </si>
  <si>
    <t>LEAK-10720</t>
  </si>
  <si>
    <t>LEAK-10722</t>
  </si>
  <si>
    <t>LEAK-10723</t>
  </si>
  <si>
    <t>LEAK-10725</t>
  </si>
  <si>
    <t>LEAK-10726</t>
  </si>
  <si>
    <t>LEAK-10727</t>
  </si>
  <si>
    <t>LEAK-10728</t>
  </si>
  <si>
    <t>LEAK-10729</t>
  </si>
  <si>
    <t>LEAK-10730</t>
  </si>
  <si>
    <t>LEAK-10731</t>
  </si>
  <si>
    <t>LEAK-10733</t>
  </si>
  <si>
    <t>LEAK-10734</t>
  </si>
  <si>
    <t>LEAK-10735</t>
  </si>
  <si>
    <t>LEAK-10736</t>
  </si>
  <si>
    <t>LEAK-10737</t>
  </si>
  <si>
    <t>LEAK-10738</t>
  </si>
  <si>
    <t>LEAK-10739</t>
  </si>
  <si>
    <t>LEAK-10740</t>
  </si>
  <si>
    <t>LEAK-10744</t>
  </si>
  <si>
    <t>LEAK-10745</t>
  </si>
  <si>
    <t>LEAK-10746</t>
  </si>
  <si>
    <t>LEAK-10747</t>
  </si>
  <si>
    <t>LEAK-10748</t>
  </si>
  <si>
    <t>LEAK-10750</t>
  </si>
  <si>
    <t>LEAK-10751</t>
  </si>
  <si>
    <t>LEAK-10752</t>
  </si>
  <si>
    <t>LEAK-10754</t>
  </si>
  <si>
    <t>LEAK-10755</t>
  </si>
  <si>
    <t>LEAK-10756</t>
  </si>
  <si>
    <t>LEAK-10757</t>
  </si>
  <si>
    <t>LEAK-10758</t>
  </si>
  <si>
    <t>LEAK-10760</t>
  </si>
  <si>
    <t>LEAK-10761</t>
  </si>
  <si>
    <t>LEAK-10763</t>
  </si>
  <si>
    <t>LEAK-10764</t>
  </si>
  <si>
    <t>LEAK-10766</t>
  </si>
  <si>
    <t>LEAK-10767</t>
  </si>
  <si>
    <t>LEAK-10768</t>
  </si>
  <si>
    <t>LEAK-10769</t>
  </si>
  <si>
    <t>LEAK-10770</t>
  </si>
  <si>
    <t>LEAK-10771</t>
  </si>
  <si>
    <t>LEAK-10772</t>
  </si>
  <si>
    <t>LEAK-10773</t>
  </si>
  <si>
    <t>LEAK-10774</t>
  </si>
  <si>
    <t>LEAK-10775</t>
  </si>
  <si>
    <t>LEAK-10776</t>
  </si>
  <si>
    <t>LEAK-10778</t>
  </si>
  <si>
    <t>LEAK-10779</t>
  </si>
  <si>
    <t>LEAK-10780</t>
  </si>
  <si>
    <t>LEAK-10781</t>
  </si>
  <si>
    <t>LEAK-10782</t>
  </si>
  <si>
    <t>LEAK-10783</t>
  </si>
  <si>
    <t>LEAK-10784</t>
  </si>
  <si>
    <t>LEAK-10785</t>
  </si>
  <si>
    <t>LEAK-10786</t>
  </si>
  <si>
    <t>LEAK-10787</t>
  </si>
  <si>
    <t>LEAK-10789</t>
  </si>
  <si>
    <t>LEAK-10790</t>
  </si>
  <si>
    <t>LEAK-10791</t>
  </si>
  <si>
    <t>LEAK-10792</t>
  </si>
  <si>
    <t>LEAK-10793</t>
  </si>
  <si>
    <t>LEAK-10795</t>
  </si>
  <si>
    <t>LEAK-10796</t>
  </si>
  <si>
    <t>LEAK-10797</t>
  </si>
  <si>
    <t>LEAK-10798</t>
  </si>
  <si>
    <t>LEAK-10799</t>
  </si>
  <si>
    <t>LEAK-10800</t>
  </si>
  <si>
    <t>LEAK-10801</t>
  </si>
  <si>
    <t>LEAK-10802</t>
  </si>
  <si>
    <t>LEAK-10803</t>
  </si>
  <si>
    <t>LEAK-10804</t>
  </si>
  <si>
    <t>LEAK-10806</t>
  </si>
  <si>
    <t>LEAK-10809</t>
  </si>
  <si>
    <t>LEAK-10810</t>
  </si>
  <si>
    <t>LEAK-10811</t>
  </si>
  <si>
    <t>LEAK-10812</t>
  </si>
  <si>
    <t>LEAK-10813</t>
  </si>
  <si>
    <t>LEAK-10814</t>
  </si>
  <si>
    <t>LEAK-10816</t>
  </si>
  <si>
    <t>LEAK-10817</t>
  </si>
  <si>
    <t>LEAK-10818</t>
  </si>
  <si>
    <t>LEAK-10819</t>
  </si>
  <si>
    <t>LEAK-10820</t>
  </si>
  <si>
    <t>LEAK-10822</t>
  </si>
  <si>
    <t>LEAK-10823</t>
  </si>
  <si>
    <t>LEAK-10825</t>
  </si>
  <si>
    <t>LEAK-10826</t>
  </si>
  <si>
    <t>LEAK-10828</t>
  </si>
  <si>
    <t>LEAK-10829</t>
  </si>
  <si>
    <t>LEAK-10830</t>
  </si>
  <si>
    <t>LEAK-10831</t>
  </si>
  <si>
    <t>LEAK-10832</t>
  </si>
  <si>
    <t>LEAK-10833</t>
  </si>
  <si>
    <t>LEAK-10834</t>
  </si>
  <si>
    <t>LEAK-10835</t>
  </si>
  <si>
    <t>LEAK-10837</t>
  </si>
  <si>
    <t>LEAK-10838</t>
  </si>
  <si>
    <t>LEAK-10839</t>
  </si>
  <si>
    <t>LEAK-10840</t>
  </si>
  <si>
    <t>LEAK-10841</t>
  </si>
  <si>
    <t>LEAK-10842</t>
  </si>
  <si>
    <t>LEAK-10844</t>
  </si>
  <si>
    <t>LEAK-10845</t>
  </si>
  <si>
    <t>LEAK-10846</t>
  </si>
  <si>
    <t>LEAK-10847</t>
  </si>
  <si>
    <t>LEAK-10848</t>
  </si>
  <si>
    <t>LEAK-10849</t>
  </si>
  <si>
    <t>LEAK-10850</t>
  </si>
  <si>
    <t>LEAK-10851</t>
  </si>
  <si>
    <t>LEAK-10852</t>
  </si>
  <si>
    <t>LEAK-10853</t>
  </si>
  <si>
    <t>LEAK-10854</t>
  </si>
  <si>
    <t>LEAK-10855</t>
  </si>
  <si>
    <t>LEAK-10857</t>
  </si>
  <si>
    <t>LEAK-10858</t>
  </si>
  <si>
    <t>LEAK-10859</t>
  </si>
  <si>
    <t>LEAK-10861</t>
  </si>
  <si>
    <t>LEAK-10862</t>
  </si>
  <si>
    <t>LEAK-10863</t>
  </si>
  <si>
    <t>LEAK-10864</t>
  </si>
  <si>
    <t>LEAK-10865</t>
  </si>
  <si>
    <t>LEAK-10867</t>
  </si>
  <si>
    <t>LEAK-10868</t>
  </si>
  <si>
    <t>LEAK-10869</t>
  </si>
  <si>
    <t>LEAK-10870</t>
  </si>
  <si>
    <t>LEAK-10871</t>
  </si>
  <si>
    <t>LEAK-10872</t>
  </si>
  <si>
    <t>LEAK-10873</t>
  </si>
  <si>
    <t>LEAK-10874</t>
  </si>
  <si>
    <t>LEAK-10875</t>
  </si>
  <si>
    <t>LEAK-10876</t>
  </si>
  <si>
    <t>LEAK-10877</t>
  </si>
  <si>
    <t>LEAK-10879</t>
  </si>
  <si>
    <t>LEAK-10880</t>
  </si>
  <si>
    <t>LEAK-10881</t>
  </si>
  <si>
    <t>LEAK-10882</t>
  </si>
  <si>
    <t>LEAK-10883</t>
  </si>
  <si>
    <t>LEAK-10884</t>
  </si>
  <si>
    <t>LEAK-10886</t>
  </si>
  <si>
    <t>LEAK-10887</t>
  </si>
  <si>
    <t>LEAK-10888</t>
  </si>
  <si>
    <t>LEAK-10889</t>
  </si>
  <si>
    <t>LEAK-10890</t>
  </si>
  <si>
    <t>LEAK-10891</t>
  </si>
  <si>
    <t>LEAK-10892</t>
  </si>
  <si>
    <t>LEAK-10893</t>
  </si>
  <si>
    <t>LEAK-10894</t>
  </si>
  <si>
    <t>LEAK-10895</t>
  </si>
  <si>
    <t>LEAK-10896</t>
  </si>
  <si>
    <t>LEAK-10897</t>
  </si>
  <si>
    <t>LEAK-10898</t>
  </si>
  <si>
    <t>LEAK-10899</t>
  </si>
  <si>
    <t>LEAK-10901</t>
  </si>
  <si>
    <t>LEAK-10902</t>
  </si>
  <si>
    <t>LEAK-10903</t>
  </si>
  <si>
    <t>LEAK-10904</t>
  </si>
  <si>
    <t>LEAK-10905</t>
  </si>
  <si>
    <t>LEAK-10906</t>
  </si>
  <si>
    <t>LEAK-10908</t>
  </si>
  <si>
    <t>LEAK-10909</t>
  </si>
  <si>
    <t>LEAK-10910</t>
  </si>
  <si>
    <t>LEAK-10911</t>
  </si>
  <si>
    <t>LEAK-10912</t>
  </si>
  <si>
    <t>LEAK-10913</t>
  </si>
  <si>
    <t>LEAK-10914</t>
  </si>
  <si>
    <t>LEAK-10916</t>
  </si>
  <si>
    <t>LEAK-10917</t>
  </si>
  <si>
    <t>LEAK-10918</t>
  </si>
  <si>
    <t>LEAK-10919</t>
  </si>
  <si>
    <t>LEAK-10920</t>
  </si>
  <si>
    <t>LEAK-10921</t>
  </si>
  <si>
    <t>LEAK-10922</t>
  </si>
  <si>
    <t>LEAK-10924</t>
  </si>
  <si>
    <t>LEAK-10925</t>
  </si>
  <si>
    <t>LEAK-10926</t>
  </si>
  <si>
    <t>LEAK-10927</t>
  </si>
  <si>
    <t>LEAK-10928</t>
  </si>
  <si>
    <t>LEAK-10929</t>
  </si>
  <si>
    <t>LEAK-10930</t>
  </si>
  <si>
    <t>LEAK-10931</t>
  </si>
  <si>
    <t>LEAK-10932</t>
  </si>
  <si>
    <t>LEAK-10933</t>
  </si>
  <si>
    <t>LEAK-10934</t>
  </si>
  <si>
    <t>LEAK-10935</t>
  </si>
  <si>
    <t>LEAK-10936</t>
  </si>
  <si>
    <t>LEAK-10937</t>
  </si>
  <si>
    <t>LEAK-10938</t>
  </si>
  <si>
    <t>LEAK-10939</t>
  </si>
  <si>
    <t>LEAK-10940</t>
  </si>
  <si>
    <t>LEAK-10941</t>
  </si>
  <si>
    <t>LEAK-10942</t>
  </si>
  <si>
    <t>LEAK-10943</t>
  </si>
  <si>
    <t>LEAK-10944</t>
  </si>
  <si>
    <t>LEAK-10945</t>
  </si>
  <si>
    <t>LEAK-10946</t>
  </si>
  <si>
    <t>LEAK-10949</t>
  </si>
  <si>
    <t>LEAK-10950</t>
  </si>
  <si>
    <t>LEAK-10951</t>
  </si>
  <si>
    <t>LEAK-10953</t>
  </si>
  <si>
    <t>LEAK-10954</t>
  </si>
  <si>
    <t>LEAK-10955</t>
  </si>
  <si>
    <t>LEAK-10956</t>
  </si>
  <si>
    <t>LEAK-10958</t>
  </si>
  <si>
    <t>LEAK-10959</t>
  </si>
  <si>
    <t>LEAK-10962</t>
  </si>
  <si>
    <t>LEAK-10963</t>
  </si>
  <si>
    <t>LEAK-10965</t>
  </si>
  <si>
    <t>LEAK-10966</t>
  </si>
  <si>
    <t>LEAK-10967</t>
  </si>
  <si>
    <t>LEAK-10968</t>
  </si>
  <si>
    <t>LEAK-10972</t>
  </si>
  <si>
    <t>LEAK-10973</t>
  </si>
  <si>
    <t>LEAK-10974</t>
  </si>
  <si>
    <t>LEAK-10975</t>
  </si>
  <si>
    <t>LEAK-10978</t>
  </si>
  <si>
    <t>LEAK-10979</t>
  </si>
  <si>
    <t>LEAK-10980</t>
  </si>
  <si>
    <t>LEAK-10981</t>
  </si>
  <si>
    <t>LEAK-10982</t>
  </si>
  <si>
    <t>LEAK-10984</t>
  </si>
  <si>
    <t>LEAK-10985</t>
  </si>
  <si>
    <t>LEAK-10986</t>
  </si>
  <si>
    <t>LEAK-10987</t>
  </si>
  <si>
    <t>LEAK-10988</t>
  </si>
  <si>
    <t>LEAK-10989</t>
  </si>
  <si>
    <t>LEAK-10991</t>
  </si>
  <si>
    <t>LEAK-10992</t>
  </si>
  <si>
    <t>LEAK-10993</t>
  </si>
  <si>
    <t>LEAK-10994</t>
  </si>
  <si>
    <t>LEAK-10996</t>
  </si>
  <si>
    <t>LEAK-10998</t>
  </si>
  <si>
    <t>LEAK-10999</t>
  </si>
  <si>
    <t>LEAK-11000</t>
  </si>
  <si>
    <t>LEAK-11001</t>
  </si>
  <si>
    <t>LEAK-11003</t>
  </si>
  <si>
    <t>LEAK-11004</t>
  </si>
  <si>
    <t>LEAK-11006</t>
  </si>
  <si>
    <t>LEAK-11007</t>
  </si>
  <si>
    <t>LEAK-11008</t>
  </si>
  <si>
    <t>LEAK-11009</t>
  </si>
  <si>
    <t>LEAK-11010</t>
  </si>
  <si>
    <t>LEAK-11011</t>
  </si>
  <si>
    <t>LEAK-11012</t>
  </si>
  <si>
    <t>LEAK-11013</t>
  </si>
  <si>
    <t>LEAK-11015</t>
  </si>
  <si>
    <t>LEAK-11016</t>
  </si>
  <si>
    <t>LEAK-11018</t>
  </si>
  <si>
    <t>LEAK-11019</t>
  </si>
  <si>
    <t>LEAK-11020</t>
  </si>
  <si>
    <t>LEAK-11021</t>
  </si>
  <si>
    <t>LEAK-11024</t>
  </si>
  <si>
    <t>LEAK-11025</t>
  </si>
  <si>
    <t>LEAK-11026</t>
  </si>
  <si>
    <t>LEAK-11027</t>
  </si>
  <si>
    <t>LEAK-11028</t>
  </si>
  <si>
    <t>LEAK-11029</t>
  </si>
  <si>
    <t>LEAK-11030</t>
  </si>
  <si>
    <t>LEAK-11032</t>
  </si>
  <si>
    <t>LEAK-11034</t>
  </si>
  <si>
    <t>LEAK-11035</t>
  </si>
  <si>
    <t>LEAK-11036</t>
  </si>
  <si>
    <t>LEAK-11037</t>
  </si>
  <si>
    <t>LEAK-11038</t>
  </si>
  <si>
    <t>LEAK-11039</t>
  </si>
  <si>
    <t>LEAK-11040</t>
  </si>
  <si>
    <t>LEAK-11041</t>
  </si>
  <si>
    <t>LEAK-11042</t>
  </si>
  <si>
    <t>LEAK-11043</t>
  </si>
  <si>
    <t>LEAK-11045</t>
  </si>
  <si>
    <t>LEAK-11047</t>
  </si>
  <si>
    <t>LEAK-11048</t>
  </si>
  <si>
    <t>LEAK-11049</t>
  </si>
  <si>
    <t>LEAK-11050</t>
  </si>
  <si>
    <t>LEAK-11051</t>
  </si>
  <si>
    <t>LEAK-11052</t>
  </si>
  <si>
    <t>LEAK-11053</t>
  </si>
  <si>
    <t>LEAK-11054</t>
  </si>
  <si>
    <t>LEAK-11055</t>
  </si>
  <si>
    <t>LEAK-11056</t>
  </si>
  <si>
    <t>LEAK-11057</t>
  </si>
  <si>
    <t>LEAK-11058</t>
  </si>
  <si>
    <t>LEAK-11059</t>
  </si>
  <si>
    <t>LEAK-11060</t>
  </si>
  <si>
    <t>LEAK-11061</t>
  </si>
  <si>
    <t>LEAK-11062</t>
  </si>
  <si>
    <t>LEAK-11063</t>
  </si>
  <si>
    <t>LEAK-11064</t>
  </si>
  <si>
    <t>LEAK-11065</t>
  </si>
  <si>
    <t>LEAK-11067</t>
  </si>
  <si>
    <t>LEAK-11070</t>
  </si>
  <si>
    <t>LEAK-11071</t>
  </si>
  <si>
    <t>LEAK-11072</t>
  </si>
  <si>
    <t>LEAK-11074</t>
  </si>
  <si>
    <t>LEAK-11075</t>
  </si>
  <si>
    <t>LEAK-11076</t>
  </si>
  <si>
    <t>LEAK-11079</t>
  </si>
  <si>
    <t>LEAK-11080</t>
  </si>
  <si>
    <t>LEAK-11081</t>
  </si>
  <si>
    <t>LEAK-11082</t>
  </si>
  <si>
    <t>LEAK-11083</t>
  </si>
  <si>
    <t>LEAK-11085</t>
  </si>
  <si>
    <t>LEAK-11086</t>
  </si>
  <si>
    <t>LEAK-11087</t>
  </si>
  <si>
    <t>LEAK-11088</t>
  </si>
  <si>
    <t>LEAK-11089</t>
  </si>
  <si>
    <t>LEAK-11090</t>
  </si>
  <si>
    <t>LEAK-11091</t>
  </si>
  <si>
    <t>LEAK-11092</t>
  </si>
  <si>
    <t>LEAK-11095</t>
  </si>
  <si>
    <t>LEAK-11098</t>
  </si>
  <si>
    <t>LEAK-11100</t>
  </si>
  <si>
    <t>LEAK-11101</t>
  </si>
  <si>
    <t>LEAK-11103</t>
  </si>
  <si>
    <t>LEAK-11104</t>
  </si>
  <si>
    <t>LEAK-11107</t>
  </si>
  <si>
    <t>LEAK-11108</t>
  </si>
  <si>
    <t>LEAK-11110</t>
  </si>
  <si>
    <t>LEAK-11111</t>
  </si>
  <si>
    <t>LEAK-11113</t>
  </si>
  <si>
    <t>LEAK-11114</t>
  </si>
  <si>
    <t>LEAK-11115</t>
  </si>
  <si>
    <t>LEAK-11116</t>
  </si>
  <si>
    <t>LEAK-11117</t>
  </si>
  <si>
    <t>LEAK-11118</t>
  </si>
  <si>
    <t>LEAK-11119</t>
  </si>
  <si>
    <t>LEAK-11121</t>
  </si>
  <si>
    <t>LEAK-11122</t>
  </si>
  <si>
    <t>LEAK-11123</t>
  </si>
  <si>
    <t>LEAK-11124</t>
  </si>
  <si>
    <t>LEAK-11125</t>
  </si>
  <si>
    <t>LEAK-11126</t>
  </si>
  <si>
    <t>LEAK-11128</t>
  </si>
  <si>
    <t>LEAK-11130</t>
  </si>
  <si>
    <t>LEAK-11132</t>
  </si>
  <si>
    <t>LEAK-11133</t>
  </si>
  <si>
    <t>LEAK-11134</t>
  </si>
  <si>
    <t>LEAK-11136</t>
  </si>
  <si>
    <t>LEAK-11137</t>
  </si>
  <si>
    <t>LEAK-11138</t>
  </si>
  <si>
    <t>LEAK-11139</t>
  </si>
  <si>
    <t>LEAK-11140</t>
  </si>
  <si>
    <t>LEAK-11141</t>
  </si>
  <si>
    <t>LEAK-11142</t>
  </si>
  <si>
    <t>LEAK-11143</t>
  </si>
  <si>
    <t>LEAK-11144</t>
  </si>
  <si>
    <t>LEAK-11146</t>
  </si>
  <si>
    <t>LEAK-11147</t>
  </si>
  <si>
    <t>LEAK-11149</t>
  </si>
  <si>
    <t>LEAK-11150</t>
  </si>
  <si>
    <t>LEAK-11151</t>
  </si>
  <si>
    <t>LEAK-11152</t>
  </si>
  <si>
    <t>LEAK-11153</t>
  </si>
  <si>
    <t>LEAK-11154</t>
  </si>
  <si>
    <t>LEAK-11155</t>
  </si>
  <si>
    <t>LEAK-11156</t>
  </si>
  <si>
    <t>LEAK-11157</t>
  </si>
  <si>
    <t>LEAK-11158</t>
  </si>
  <si>
    <t>LEAK-11159</t>
  </si>
  <si>
    <t>LEAK-11161</t>
  </si>
  <si>
    <t>LEAK-11162</t>
  </si>
  <si>
    <t>LEAK-11163</t>
  </si>
  <si>
    <t>LEAK-11164</t>
  </si>
  <si>
    <t>LEAK-11165</t>
  </si>
  <si>
    <t>LEAK-11167</t>
  </si>
  <si>
    <t>LEAK-11168</t>
  </si>
  <si>
    <t>LEAK-11169</t>
  </si>
  <si>
    <t>LEAK-11170</t>
  </si>
  <si>
    <t>LEAK-11171</t>
  </si>
  <si>
    <t>LEAK-11172</t>
  </si>
  <si>
    <t>LEAK-11173</t>
  </si>
  <si>
    <t>LEAK-11174</t>
  </si>
  <si>
    <t>LEAK-11176</t>
  </si>
  <si>
    <t>LEAK-11178</t>
  </si>
  <si>
    <t>LEAK-11179</t>
  </si>
  <si>
    <t>LEAK-11180</t>
  </si>
  <si>
    <t>LEAK-11184</t>
  </si>
  <si>
    <t>LEAK-11185</t>
  </si>
  <si>
    <t>LEAK-11186</t>
  </si>
  <si>
    <t>LEAK-11187</t>
  </si>
  <si>
    <t>LEAK-11188</t>
  </si>
  <si>
    <t>LEAK-11189</t>
  </si>
  <si>
    <t>LEAK-11191</t>
  </si>
  <si>
    <t>LEAK-11192</t>
  </si>
  <si>
    <t>LEAK-11193</t>
  </si>
  <si>
    <t>LEAK-11194</t>
  </si>
  <si>
    <t>LEAK-11195</t>
  </si>
  <si>
    <t>LEAK-11196</t>
  </si>
  <si>
    <t>LEAK-11197</t>
  </si>
  <si>
    <t>LEAK-11199</t>
  </si>
  <si>
    <t>MTR-20000</t>
  </si>
  <si>
    <t>Manual</t>
  </si>
  <si>
    <t>MTR-20001</t>
  </si>
  <si>
    <t>AMR</t>
  </si>
  <si>
    <t>MTR-20002</t>
  </si>
  <si>
    <t>AMI</t>
  </si>
  <si>
    <t>MTR-20003</t>
  </si>
  <si>
    <t>MTR-20004</t>
  </si>
  <si>
    <t>MTR-20005</t>
  </si>
  <si>
    <t>MTR-20006</t>
  </si>
  <si>
    <t>MTR-20007</t>
  </si>
  <si>
    <t>MTR-20008</t>
  </si>
  <si>
    <t>MTR-20009</t>
  </si>
  <si>
    <t>MTR-20010</t>
  </si>
  <si>
    <t>MTR-20011</t>
  </si>
  <si>
    <t>MTR-20012</t>
  </si>
  <si>
    <t>MTR-20013</t>
  </si>
  <si>
    <t>MTR-20014</t>
  </si>
  <si>
    <t>MTR-20015</t>
  </si>
  <si>
    <t>MTR-20016</t>
  </si>
  <si>
    <t>MTR-20017</t>
  </si>
  <si>
    <t>MTR-20018</t>
  </si>
  <si>
    <t>MTR-20019</t>
  </si>
  <si>
    <t>MTR-20020</t>
  </si>
  <si>
    <t>MTR-20021</t>
  </si>
  <si>
    <t>MTR-20022</t>
  </si>
  <si>
    <t>MTR-20023</t>
  </si>
  <si>
    <t>MTR-20024</t>
  </si>
  <si>
    <t>MTR-20025</t>
  </si>
  <si>
    <t>MTR-20026</t>
  </si>
  <si>
    <t>MTR-20027</t>
  </si>
  <si>
    <t>MTR-20028</t>
  </si>
  <si>
    <t>MTR-20029</t>
  </si>
  <si>
    <t>MTR-20030</t>
  </si>
  <si>
    <t>MTR-20031</t>
  </si>
  <si>
    <t>MTR-20032</t>
  </si>
  <si>
    <t>MTR-20033</t>
  </si>
  <si>
    <t>MTR-20034</t>
  </si>
  <si>
    <t>MTR-20035</t>
  </si>
  <si>
    <t>MTR-20036</t>
  </si>
  <si>
    <t>MTR-20037</t>
  </si>
  <si>
    <t>MTR-20038</t>
  </si>
  <si>
    <t>MTR-20039</t>
  </si>
  <si>
    <t>MTR-20040</t>
  </si>
  <si>
    <t>MTR-20041</t>
  </si>
  <si>
    <t>MTR-20042</t>
  </si>
  <si>
    <t>MTR-20043</t>
  </si>
  <si>
    <t>MTR-20044</t>
  </si>
  <si>
    <t>MTR-20045</t>
  </si>
  <si>
    <t>MTR-20046</t>
  </si>
  <si>
    <t>MTR-20047</t>
  </si>
  <si>
    <t>MTR-20048</t>
  </si>
  <si>
    <t>MTR-20049</t>
  </si>
  <si>
    <t>MTR-20050</t>
  </si>
  <si>
    <t>MTR-20051</t>
  </si>
  <si>
    <t>MTR-20052</t>
  </si>
  <si>
    <t>MTR-20053</t>
  </si>
  <si>
    <t>MTR-20054</t>
  </si>
  <si>
    <t>MTR-20055</t>
  </si>
  <si>
    <t>MTR-20056</t>
  </si>
  <si>
    <t>MTR-20057</t>
  </si>
  <si>
    <t>MTR-20058</t>
  </si>
  <si>
    <t>MTR-20059</t>
  </si>
  <si>
    <t>MTR-20060</t>
  </si>
  <si>
    <t>MTR-20061</t>
  </si>
  <si>
    <t>MTR-20062</t>
  </si>
  <si>
    <t>MTR-20063</t>
  </si>
  <si>
    <t>MTR-20064</t>
  </si>
  <si>
    <t>MTR-20065</t>
  </si>
  <si>
    <t>MTR-20066</t>
  </si>
  <si>
    <t>MTR-20067</t>
  </si>
  <si>
    <t>MTR-20068</t>
  </si>
  <si>
    <t>MTR-20069</t>
  </si>
  <si>
    <t>MTR-20070</t>
  </si>
  <si>
    <t>MTR-20071</t>
  </si>
  <si>
    <t>MTR-20072</t>
  </si>
  <si>
    <t>MTR-20073</t>
  </si>
  <si>
    <t>MTR-20074</t>
  </si>
  <si>
    <t>MTR-20075</t>
  </si>
  <si>
    <t>MTR-20076</t>
  </si>
  <si>
    <t>MTR-20077</t>
  </si>
  <si>
    <t>MTR-20078</t>
  </si>
  <si>
    <t>MTR-20079</t>
  </si>
  <si>
    <t>MTR-20080</t>
  </si>
  <si>
    <t>MTR-20081</t>
  </si>
  <si>
    <t>MTR-20082</t>
  </si>
  <si>
    <t>MTR-20083</t>
  </si>
  <si>
    <t>MTR-20084</t>
  </si>
  <si>
    <t>MTR-20085</t>
  </si>
  <si>
    <t>MTR-20086</t>
  </si>
  <si>
    <t>MTR-20087</t>
  </si>
  <si>
    <t>MTR-20088</t>
  </si>
  <si>
    <t>MTR-20089</t>
  </si>
  <si>
    <t>MTR-20090</t>
  </si>
  <si>
    <t>MTR-20091</t>
  </si>
  <si>
    <t>MTR-20092</t>
  </si>
  <si>
    <t>MTR-20093</t>
  </si>
  <si>
    <t>MTR-20094</t>
  </si>
  <si>
    <t>MTR-20095</t>
  </si>
  <si>
    <t>MTR-20096</t>
  </si>
  <si>
    <t>MTR-20097</t>
  </si>
  <si>
    <t>MTR-20098</t>
  </si>
  <si>
    <t>MTR-20099</t>
  </si>
  <si>
    <t>MTR-20100</t>
  </si>
  <si>
    <t>MTR-20101</t>
  </si>
  <si>
    <t>MTR-20102</t>
  </si>
  <si>
    <t>MTR-20103</t>
  </si>
  <si>
    <t>MTR-20104</t>
  </si>
  <si>
    <t>MTR-20105</t>
  </si>
  <si>
    <t>MTR-20106</t>
  </si>
  <si>
    <t>MTR-20107</t>
  </si>
  <si>
    <t>MTR-20108</t>
  </si>
  <si>
    <t>MTR-20109</t>
  </si>
  <si>
    <t>MTR-20110</t>
  </si>
  <si>
    <t>MTR-20111</t>
  </si>
  <si>
    <t>MTR-20112</t>
  </si>
  <si>
    <t>MTR-20113</t>
  </si>
  <si>
    <t>MTR-20114</t>
  </si>
  <si>
    <t>MTR-20115</t>
  </si>
  <si>
    <t>MTR-20116</t>
  </si>
  <si>
    <t>MTR-20117</t>
  </si>
  <si>
    <t>MTR-20118</t>
  </si>
  <si>
    <t>MTR-20119</t>
  </si>
  <si>
    <t>MTR-20120</t>
  </si>
  <si>
    <t>MTR-20121</t>
  </si>
  <si>
    <t>MTR-20122</t>
  </si>
  <si>
    <t>MTR-20123</t>
  </si>
  <si>
    <t>MTR-20124</t>
  </si>
  <si>
    <t>MTR-20125</t>
  </si>
  <si>
    <t>MTR-20126</t>
  </si>
  <si>
    <t>MTR-20127</t>
  </si>
  <si>
    <t>MTR-20128</t>
  </si>
  <si>
    <t>MTR-20129</t>
  </si>
  <si>
    <t>MTR-20130</t>
  </si>
  <si>
    <t>MTR-20131</t>
  </si>
  <si>
    <t>MTR-20132</t>
  </si>
  <si>
    <t>MTR-20133</t>
  </si>
  <si>
    <t>MTR-20134</t>
  </si>
  <si>
    <t>MTR-20135</t>
  </si>
  <si>
    <t>MTR-20136</t>
  </si>
  <si>
    <t>MTR-20137</t>
  </si>
  <si>
    <t>MTR-20138</t>
  </si>
  <si>
    <t>MTR-20139</t>
  </si>
  <si>
    <t>MTR-20140</t>
  </si>
  <si>
    <t>MTR-20141</t>
  </si>
  <si>
    <t>MTR-20142</t>
  </si>
  <si>
    <t>MTR-20143</t>
  </si>
  <si>
    <t>MTR-20144</t>
  </si>
  <si>
    <t>MTR-20145</t>
  </si>
  <si>
    <t>MTR-20146</t>
  </si>
  <si>
    <t>MTR-20147</t>
  </si>
  <si>
    <t>MTR-20148</t>
  </si>
  <si>
    <t>MTR-20149</t>
  </si>
  <si>
    <t>MTR-20150</t>
  </si>
  <si>
    <t>MTR-20151</t>
  </si>
  <si>
    <t>MTR-20152</t>
  </si>
  <si>
    <t>MTR-20153</t>
  </si>
  <si>
    <t>MTR-20154</t>
  </si>
  <si>
    <t>MTR-20155</t>
  </si>
  <si>
    <t>MTR-20156</t>
  </si>
  <si>
    <t>MTR-20157</t>
  </si>
  <si>
    <t>MTR-20158</t>
  </si>
  <si>
    <t>MTR-20159</t>
  </si>
  <si>
    <t>MTR-20160</t>
  </si>
  <si>
    <t>MTR-20161</t>
  </si>
  <si>
    <t>MTR-20162</t>
  </si>
  <si>
    <t>MTR-20163</t>
  </si>
  <si>
    <t>MTR-20164</t>
  </si>
  <si>
    <t>MTR-20165</t>
  </si>
  <si>
    <t>MTR-20166</t>
  </si>
  <si>
    <t>MTR-20167</t>
  </si>
  <si>
    <t>MTR-20168</t>
  </si>
  <si>
    <t>MTR-20169</t>
  </si>
  <si>
    <t>MTR-20170</t>
  </si>
  <si>
    <t>MTR-20171</t>
  </si>
  <si>
    <t>MTR-20172</t>
  </si>
  <si>
    <t>MTR-20173</t>
  </si>
  <si>
    <t>MTR-20174</t>
  </si>
  <si>
    <t>MTR-20175</t>
  </si>
  <si>
    <t>MTR-20176</t>
  </si>
  <si>
    <t>MTR-20177</t>
  </si>
  <si>
    <t>MTR-20178</t>
  </si>
  <si>
    <t>MTR-20179</t>
  </si>
  <si>
    <t>MTR-20180</t>
  </si>
  <si>
    <t>MTR-20181</t>
  </si>
  <si>
    <t>MTR-20182</t>
  </si>
  <si>
    <t>MTR-20183</t>
  </si>
  <si>
    <t>MTR-20184</t>
  </si>
  <si>
    <t>MTR-20185</t>
  </si>
  <si>
    <t>MTR-20186</t>
  </si>
  <si>
    <t>MTR-20187</t>
  </si>
  <si>
    <t>MTR-20188</t>
  </si>
  <si>
    <t>MTR-20189</t>
  </si>
  <si>
    <t>MTR-20190</t>
  </si>
  <si>
    <t>MTR-20191</t>
  </si>
  <si>
    <t>MTR-20192</t>
  </si>
  <si>
    <t>MTR-20193</t>
  </si>
  <si>
    <t>MTR-20194</t>
  </si>
  <si>
    <t>MTR-20195</t>
  </si>
  <si>
    <t>MTR-20196</t>
  </si>
  <si>
    <t>MTR-20197</t>
  </si>
  <si>
    <t>MTR-20198</t>
  </si>
  <si>
    <t>MTR-20199</t>
  </si>
  <si>
    <t>MTR-20200</t>
  </si>
  <si>
    <t>MTR-20201</t>
  </si>
  <si>
    <t>MTR-20202</t>
  </si>
  <si>
    <t>MTR-20203</t>
  </si>
  <si>
    <t>MTR-20204</t>
  </si>
  <si>
    <t>MTR-20205</t>
  </si>
  <si>
    <t>MTR-20206</t>
  </si>
  <si>
    <t>MTR-20207</t>
  </si>
  <si>
    <t>MTR-20208</t>
  </si>
  <si>
    <t>MTR-20209</t>
  </si>
  <si>
    <t>MTR-20210</t>
  </si>
  <si>
    <t>MTR-20211</t>
  </si>
  <si>
    <t>MTR-20212</t>
  </si>
  <si>
    <t>MTR-20213</t>
  </si>
  <si>
    <t>MTR-20214</t>
  </si>
  <si>
    <t>MTR-20215</t>
  </si>
  <si>
    <t>MTR-20216</t>
  </si>
  <si>
    <t>MTR-20217</t>
  </si>
  <si>
    <t>MTR-20218</t>
  </si>
  <si>
    <t>MTR-20219</t>
  </si>
  <si>
    <t>MTR-20220</t>
  </si>
  <si>
    <t>MTR-20221</t>
  </si>
  <si>
    <t>MTR-20222</t>
  </si>
  <si>
    <t>MTR-20223</t>
  </si>
  <si>
    <t>MTR-20224</t>
  </si>
  <si>
    <t>MTR-20225</t>
  </si>
  <si>
    <t>MTR-20226</t>
  </si>
  <si>
    <t>MTR-20227</t>
  </si>
  <si>
    <t>MTR-20228</t>
  </si>
  <si>
    <t>MTR-20229</t>
  </si>
  <si>
    <t>MTR-20230</t>
  </si>
  <si>
    <t>MTR-20231</t>
  </si>
  <si>
    <t>MTR-20232</t>
  </si>
  <si>
    <t>MTR-20233</t>
  </si>
  <si>
    <t>MTR-20234</t>
  </si>
  <si>
    <t>MTR-20235</t>
  </si>
  <si>
    <t>MTR-20236</t>
  </si>
  <si>
    <t>MTR-20237</t>
  </si>
  <si>
    <t>MTR-20238</t>
  </si>
  <si>
    <t>MTR-20239</t>
  </si>
  <si>
    <t>MTR-20240</t>
  </si>
  <si>
    <t>MTR-20241</t>
  </si>
  <si>
    <t>MTR-20242</t>
  </si>
  <si>
    <t>MTR-20243</t>
  </si>
  <si>
    <t>MTR-20244</t>
  </si>
  <si>
    <t>MTR-20245</t>
  </si>
  <si>
    <t>MTR-20246</t>
  </si>
  <si>
    <t>MTR-20247</t>
  </si>
  <si>
    <t>MTR-20248</t>
  </si>
  <si>
    <t>MTR-20249</t>
  </si>
  <si>
    <t>MTR-20250</t>
  </si>
  <si>
    <t>MTR-20251</t>
  </si>
  <si>
    <t>MTR-20252</t>
  </si>
  <si>
    <t>MTR-20253</t>
  </si>
  <si>
    <t>MTR-20254</t>
  </si>
  <si>
    <t>MTR-20255</t>
  </si>
  <si>
    <t>MTR-20256</t>
  </si>
  <si>
    <t>MTR-20257</t>
  </si>
  <si>
    <t>MTR-20258</t>
  </si>
  <si>
    <t>MTR-20259</t>
  </si>
  <si>
    <t>MTR-20260</t>
  </si>
  <si>
    <t>MTR-20261</t>
  </si>
  <si>
    <t>MTR-20262</t>
  </si>
  <si>
    <t>MTR-20263</t>
  </si>
  <si>
    <t>MTR-20264</t>
  </si>
  <si>
    <t>MTR-20265</t>
  </si>
  <si>
    <t>MTR-20266</t>
  </si>
  <si>
    <t>MTR-20267</t>
  </si>
  <si>
    <t>MTR-20268</t>
  </si>
  <si>
    <t>MTR-20269</t>
  </si>
  <si>
    <t>MTR-20270</t>
  </si>
  <si>
    <t>MTR-20271</t>
  </si>
  <si>
    <t>MTR-20272</t>
  </si>
  <si>
    <t>MTR-20273</t>
  </si>
  <si>
    <t>MTR-20274</t>
  </si>
  <si>
    <t>MTR-20275</t>
  </si>
  <si>
    <t>MTR-20276</t>
  </si>
  <si>
    <t>MTR-20277</t>
  </si>
  <si>
    <t>MTR-20278</t>
  </si>
  <si>
    <t>MTR-20279</t>
  </si>
  <si>
    <t>MTR-20280</t>
  </si>
  <si>
    <t>MTR-20281</t>
  </si>
  <si>
    <t>MTR-20282</t>
  </si>
  <si>
    <t>MTR-20283</t>
  </si>
  <si>
    <t>MTR-20284</t>
  </si>
  <si>
    <t>MTR-20285</t>
  </si>
  <si>
    <t>MTR-20286</t>
  </si>
  <si>
    <t>MTR-20287</t>
  </si>
  <si>
    <t>MTR-20288</t>
  </si>
  <si>
    <t>MTR-20289</t>
  </si>
  <si>
    <t>MTR-20290</t>
  </si>
  <si>
    <t>MTR-20291</t>
  </si>
  <si>
    <t>MTR-20292</t>
  </si>
  <si>
    <t>MTR-20293</t>
  </si>
  <si>
    <t>MTR-20294</t>
  </si>
  <si>
    <t>MTR-20295</t>
  </si>
  <si>
    <t>MTR-20296</t>
  </si>
  <si>
    <t>MTR-20297</t>
  </si>
  <si>
    <t>MTR-20298</t>
  </si>
  <si>
    <t>MTR-20299</t>
  </si>
  <si>
    <t>MTR-20300</t>
  </si>
  <si>
    <t>MTR-20301</t>
  </si>
  <si>
    <t>MTR-20302</t>
  </si>
  <si>
    <t>MTR-20303</t>
  </si>
  <si>
    <t>MTR-20304</t>
  </si>
  <si>
    <t>MTR-20305</t>
  </si>
  <si>
    <t>MTR-20306</t>
  </si>
  <si>
    <t>MTR-20307</t>
  </si>
  <si>
    <t>MTR-20308</t>
  </si>
  <si>
    <t>MTR-20309</t>
  </si>
  <si>
    <t>MTR-20310</t>
  </si>
  <si>
    <t>MTR-20311</t>
  </si>
  <si>
    <t>MTR-20312</t>
  </si>
  <si>
    <t>MTR-20313</t>
  </si>
  <si>
    <t>MTR-20314</t>
  </si>
  <si>
    <t>MTR-20315</t>
  </si>
  <si>
    <t>MTR-20316</t>
  </si>
  <si>
    <t>MTR-20317</t>
  </si>
  <si>
    <t>MTR-20318</t>
  </si>
  <si>
    <t>MTR-20319</t>
  </si>
  <si>
    <t>MTR-20320</t>
  </si>
  <si>
    <t>MTR-20321</t>
  </si>
  <si>
    <t>MTR-20322</t>
  </si>
  <si>
    <t>MTR-20323</t>
  </si>
  <si>
    <t>MTR-20324</t>
  </si>
  <si>
    <t>MTR-20325</t>
  </si>
  <si>
    <t>MTR-20326</t>
  </si>
  <si>
    <t>MTR-20327</t>
  </si>
  <si>
    <t>MTR-20328</t>
  </si>
  <si>
    <t>MTR-20329</t>
  </si>
  <si>
    <t>MTR-20330</t>
  </si>
  <si>
    <t>MTR-20331</t>
  </si>
  <si>
    <t>MTR-20332</t>
  </si>
  <si>
    <t>MTR-20333</t>
  </si>
  <si>
    <t>MTR-20334</t>
  </si>
  <si>
    <t>MTR-20335</t>
  </si>
  <si>
    <t>MTR-20336</t>
  </si>
  <si>
    <t>MTR-20337</t>
  </si>
  <si>
    <t>MTR-20338</t>
  </si>
  <si>
    <t>MTR-20339</t>
  </si>
  <si>
    <t>MTR-20340</t>
  </si>
  <si>
    <t>MTR-20341</t>
  </si>
  <si>
    <t>MTR-20342</t>
  </si>
  <si>
    <t>MTR-20343</t>
  </si>
  <si>
    <t>MTR-20344</t>
  </si>
  <si>
    <t>MTR-20345</t>
  </si>
  <si>
    <t>MTR-20346</t>
  </si>
  <si>
    <t>MTR-20347</t>
  </si>
  <si>
    <t>MTR-20348</t>
  </si>
  <si>
    <t>MTR-20349</t>
  </si>
  <si>
    <t>MTR-20350</t>
  </si>
  <si>
    <t>MTR-20351</t>
  </si>
  <si>
    <t>MTR-20352</t>
  </si>
  <si>
    <t>MTR-20353</t>
  </si>
  <si>
    <t>MTR-20354</t>
  </si>
  <si>
    <t>MTR-20355</t>
  </si>
  <si>
    <t>MTR-20356</t>
  </si>
  <si>
    <t>MTR-20357</t>
  </si>
  <si>
    <t>MTR-20358</t>
  </si>
  <si>
    <t>MTR-20359</t>
  </si>
  <si>
    <t>MTR-20360</t>
  </si>
  <si>
    <t>MTR-20361</t>
  </si>
  <si>
    <t>MTR-20362</t>
  </si>
  <si>
    <t>MTR-20363</t>
  </si>
  <si>
    <t>MTR-20364</t>
  </si>
  <si>
    <t>MTR-20365</t>
  </si>
  <si>
    <t>MTR-20366</t>
  </si>
  <si>
    <t>MTR-20367</t>
  </si>
  <si>
    <t>MTR-20368</t>
  </si>
  <si>
    <t>MTR-20369</t>
  </si>
  <si>
    <t>MTR-20370</t>
  </si>
  <si>
    <t>MTR-20371</t>
  </si>
  <si>
    <t>MTR-20372</t>
  </si>
  <si>
    <t>MTR-20373</t>
  </si>
  <si>
    <t>MTR-20374</t>
  </si>
  <si>
    <t>MTR-20375</t>
  </si>
  <si>
    <t>MTR-20376</t>
  </si>
  <si>
    <t>MTR-20377</t>
  </si>
  <si>
    <t>MTR-20378</t>
  </si>
  <si>
    <t>MTR-20379</t>
  </si>
  <si>
    <t>MTR-20380</t>
  </si>
  <si>
    <t>MTR-20381</t>
  </si>
  <si>
    <t>MTR-20382</t>
  </si>
  <si>
    <t>MTR-20383</t>
  </si>
  <si>
    <t>MTR-20384</t>
  </si>
  <si>
    <t>MTR-20385</t>
  </si>
  <si>
    <t>MTR-20386</t>
  </si>
  <si>
    <t>MTR-20387</t>
  </si>
  <si>
    <t>MTR-20388</t>
  </si>
  <si>
    <t>MTR-20389</t>
  </si>
  <si>
    <t>MTR-20390</t>
  </si>
  <si>
    <t>MTR-20391</t>
  </si>
  <si>
    <t>MTR-20392</t>
  </si>
  <si>
    <t>MTR-20393</t>
  </si>
  <si>
    <t>MTR-20394</t>
  </si>
  <si>
    <t>MTR-20395</t>
  </si>
  <si>
    <t>MTR-20396</t>
  </si>
  <si>
    <t>MTR-20397</t>
  </si>
  <si>
    <t>MTR-20398</t>
  </si>
  <si>
    <t>MTR-20399</t>
  </si>
  <si>
    <t>MTR-20400</t>
  </si>
  <si>
    <t>MTR-20401</t>
  </si>
  <si>
    <t>MTR-20402</t>
  </si>
  <si>
    <t>MTR-20403</t>
  </si>
  <si>
    <t>MTR-20404</t>
  </si>
  <si>
    <t>MTR-20405</t>
  </si>
  <si>
    <t>MTR-20406</t>
  </si>
  <si>
    <t>MTR-20407</t>
  </si>
  <si>
    <t>MTR-20408</t>
  </si>
  <si>
    <t>MTR-20409</t>
  </si>
  <si>
    <t>MTR-20410</t>
  </si>
  <si>
    <t>MTR-20411</t>
  </si>
  <si>
    <t>MTR-20412</t>
  </si>
  <si>
    <t>MTR-20413</t>
  </si>
  <si>
    <t>MTR-20414</t>
  </si>
  <si>
    <t>MTR-20415</t>
  </si>
  <si>
    <t>MTR-20416</t>
  </si>
  <si>
    <t>MTR-20417</t>
  </si>
  <si>
    <t>MTR-20418</t>
  </si>
  <si>
    <t>MTR-20419</t>
  </si>
  <si>
    <t>MTR-20420</t>
  </si>
  <si>
    <t>MTR-20421</t>
  </si>
  <si>
    <t>MTR-20422</t>
  </si>
  <si>
    <t>MTR-20423</t>
  </si>
  <si>
    <t>MTR-20424</t>
  </si>
  <si>
    <t>MTR-20425</t>
  </si>
  <si>
    <t>MTR-20426</t>
  </si>
  <si>
    <t>MTR-20427</t>
  </si>
  <si>
    <t>MTR-20428</t>
  </si>
  <si>
    <t>MTR-20429</t>
  </si>
  <si>
    <t>MTR-20430</t>
  </si>
  <si>
    <t>MTR-20431</t>
  </si>
  <si>
    <t>MTR-20432</t>
  </si>
  <si>
    <t>MTR-20433</t>
  </si>
  <si>
    <t>MTR-20434</t>
  </si>
  <si>
    <t>MTR-20435</t>
  </si>
  <si>
    <t>MTR-20436</t>
  </si>
  <si>
    <t>MTR-20437</t>
  </si>
  <si>
    <t>MTR-20438</t>
  </si>
  <si>
    <t>MTR-20439</t>
  </si>
  <si>
    <t>MTR-20440</t>
  </si>
  <si>
    <t>MTR-20441</t>
  </si>
  <si>
    <t>MTR-20442</t>
  </si>
  <si>
    <t>MTR-20443</t>
  </si>
  <si>
    <t>MTR-20444</t>
  </si>
  <si>
    <t>MTR-20445</t>
  </si>
  <si>
    <t>MTR-20446</t>
  </si>
  <si>
    <t>MTR-20447</t>
  </si>
  <si>
    <t>MTR-20448</t>
  </si>
  <si>
    <t>MTR-20449</t>
  </si>
  <si>
    <t>MTR-20450</t>
  </si>
  <si>
    <t>MTR-20451</t>
  </si>
  <si>
    <t>MTR-20452</t>
  </si>
  <si>
    <t>MTR-20453</t>
  </si>
  <si>
    <t>MTR-20454</t>
  </si>
  <si>
    <t>MTR-20455</t>
  </si>
  <si>
    <t>MTR-20456</t>
  </si>
  <si>
    <t>MTR-20457</t>
  </si>
  <si>
    <t>MTR-20458</t>
  </si>
  <si>
    <t>MTR-20459</t>
  </si>
  <si>
    <t>MTR-20460</t>
  </si>
  <si>
    <t>MTR-20461</t>
  </si>
  <si>
    <t>MTR-20462</t>
  </si>
  <si>
    <t>MTR-20463</t>
  </si>
  <si>
    <t>MTR-20464</t>
  </si>
  <si>
    <t>MTR-20465</t>
  </si>
  <si>
    <t>MTR-20466</t>
  </si>
  <si>
    <t>MTR-20467</t>
  </si>
  <si>
    <t>MTR-20468</t>
  </si>
  <si>
    <t>MTR-20469</t>
  </si>
  <si>
    <t>MTR-20470</t>
  </si>
  <si>
    <t>MTR-20471</t>
  </si>
  <si>
    <t>MTR-20472</t>
  </si>
  <si>
    <t>MTR-20473</t>
  </si>
  <si>
    <t>MTR-20474</t>
  </si>
  <si>
    <t>MTR-20475</t>
  </si>
  <si>
    <t>MTR-20476</t>
  </si>
  <si>
    <t>MTR-20477</t>
  </si>
  <si>
    <t>MTR-20478</t>
  </si>
  <si>
    <t>MTR-20479</t>
  </si>
  <si>
    <t>MTR-20480</t>
  </si>
  <si>
    <t>MTR-20481</t>
  </si>
  <si>
    <t>MTR-20482</t>
  </si>
  <si>
    <t>MTR-20483</t>
  </si>
  <si>
    <t>MTR-20484</t>
  </si>
  <si>
    <t>MTR-20485</t>
  </si>
  <si>
    <t>MTR-20486</t>
  </si>
  <si>
    <t>MTR-20487</t>
  </si>
  <si>
    <t>MTR-20488</t>
  </si>
  <si>
    <t>MTR-20489</t>
  </si>
  <si>
    <t>MTR-20490</t>
  </si>
  <si>
    <t>MTR-20491</t>
  </si>
  <si>
    <t>MTR-20492</t>
  </si>
  <si>
    <t>MTR-20493</t>
  </si>
  <si>
    <t>MTR-20494</t>
  </si>
  <si>
    <t>MTR-20495</t>
  </si>
  <si>
    <t>MTR-20496</t>
  </si>
  <si>
    <t>MTR-20497</t>
  </si>
  <si>
    <t>MTR-20498</t>
  </si>
  <si>
    <t>MTR-20499</t>
  </si>
  <si>
    <t>MTR-20500</t>
  </si>
  <si>
    <t>MTR-20501</t>
  </si>
  <si>
    <t>MTR-20502</t>
  </si>
  <si>
    <t>MTR-20503</t>
  </si>
  <si>
    <t>MTR-20504</t>
  </si>
  <si>
    <t>MTR-20505</t>
  </si>
  <si>
    <t>MTR-20506</t>
  </si>
  <si>
    <t>MTR-20507</t>
  </si>
  <si>
    <t>MTR-20508</t>
  </si>
  <si>
    <t>MTR-20509</t>
  </si>
  <si>
    <t>MTR-20510</t>
  </si>
  <si>
    <t>MTR-20511</t>
  </si>
  <si>
    <t>MTR-20512</t>
  </si>
  <si>
    <t>MTR-20513</t>
  </si>
  <si>
    <t>MTR-20514</t>
  </si>
  <si>
    <t>MTR-20515</t>
  </si>
  <si>
    <t>MTR-20516</t>
  </si>
  <si>
    <t>MTR-20517</t>
  </si>
  <si>
    <t>MTR-20518</t>
  </si>
  <si>
    <t>MTR-20519</t>
  </si>
  <si>
    <t>MTR-20520</t>
  </si>
  <si>
    <t>MTR-20521</t>
  </si>
  <si>
    <t>MTR-20522</t>
  </si>
  <si>
    <t>MTR-20523</t>
  </si>
  <si>
    <t>MTR-20524</t>
  </si>
  <si>
    <t>MTR-20525</t>
  </si>
  <si>
    <t>MTR-20526</t>
  </si>
  <si>
    <t>MTR-20527</t>
  </si>
  <si>
    <t>MTR-20528</t>
  </si>
  <si>
    <t>MTR-20529</t>
  </si>
  <si>
    <t>MTR-20530</t>
  </si>
  <si>
    <t>MTR-20531</t>
  </si>
  <si>
    <t>MTR-20532</t>
  </si>
  <si>
    <t>MTR-20533</t>
  </si>
  <si>
    <t>MTR-20534</t>
  </si>
  <si>
    <t>MTR-20535</t>
  </si>
  <si>
    <t>MTR-20536</t>
  </si>
  <si>
    <t>MTR-20537</t>
  </si>
  <si>
    <t>MTR-20538</t>
  </si>
  <si>
    <t>MTR-20539</t>
  </si>
  <si>
    <t>MTR-20540</t>
  </si>
  <si>
    <t>MTR-20541</t>
  </si>
  <si>
    <t>MTR-20542</t>
  </si>
  <si>
    <t>MTR-20543</t>
  </si>
  <si>
    <t>MTR-20544</t>
  </si>
  <si>
    <t>MTR-20545</t>
  </si>
  <si>
    <t>MTR-20546</t>
  </si>
  <si>
    <t>MTR-20547</t>
  </si>
  <si>
    <t>MTR-20548</t>
  </si>
  <si>
    <t>MTR-20549</t>
  </si>
  <si>
    <t>MTR-20550</t>
  </si>
  <si>
    <t>MTR-20551</t>
  </si>
  <si>
    <t>MTR-20552</t>
  </si>
  <si>
    <t>MTR-20553</t>
  </si>
  <si>
    <t>MTR-20554</t>
  </si>
  <si>
    <t>MTR-20555</t>
  </si>
  <si>
    <t>MTR-20556</t>
  </si>
  <si>
    <t>MTR-20557</t>
  </si>
  <si>
    <t>MTR-20558</t>
  </si>
  <si>
    <t>MTR-20559</t>
  </si>
  <si>
    <t>MTR-20560</t>
  </si>
  <si>
    <t>MTR-20561</t>
  </si>
  <si>
    <t>MTR-20562</t>
  </si>
  <si>
    <t>MTR-20563</t>
  </si>
  <si>
    <t>MTR-20564</t>
  </si>
  <si>
    <t>MTR-20565</t>
  </si>
  <si>
    <t>MTR-20566</t>
  </si>
  <si>
    <t>MTR-20567</t>
  </si>
  <si>
    <t>MTR-20568</t>
  </si>
  <si>
    <t>MTR-20569</t>
  </si>
  <si>
    <t>MTR-20570</t>
  </si>
  <si>
    <t>MTR-20571</t>
  </si>
  <si>
    <t>MTR-20572</t>
  </si>
  <si>
    <t>MTR-20573</t>
  </si>
  <si>
    <t>MTR-20574</t>
  </si>
  <si>
    <t>MTR-20575</t>
  </si>
  <si>
    <t>MTR-20576</t>
  </si>
  <si>
    <t>MTR-20577</t>
  </si>
  <si>
    <t>MTR-20578</t>
  </si>
  <si>
    <t>MTR-20579</t>
  </si>
  <si>
    <t>MTR-20580</t>
  </si>
  <si>
    <t>MTR-20581</t>
  </si>
  <si>
    <t>MTR-20582</t>
  </si>
  <si>
    <t>MTR-20583</t>
  </si>
  <si>
    <t>MTR-20584</t>
  </si>
  <si>
    <t>MTR-20585</t>
  </si>
  <si>
    <t>MTR-20586</t>
  </si>
  <si>
    <t>MTR-20587</t>
  </si>
  <si>
    <t>MTR-20588</t>
  </si>
  <si>
    <t>MTR-20589</t>
  </si>
  <si>
    <t>MTR-20590</t>
  </si>
  <si>
    <t>MTR-20591</t>
  </si>
  <si>
    <t>MTR-20592</t>
  </si>
  <si>
    <t>MTR-20593</t>
  </si>
  <si>
    <t>MTR-20594</t>
  </si>
  <si>
    <t>MTR-20595</t>
  </si>
  <si>
    <t>MTR-20596</t>
  </si>
  <si>
    <t>MTR-20597</t>
  </si>
  <si>
    <t>MTR-20598</t>
  </si>
  <si>
    <t>MTR-20599</t>
  </si>
  <si>
    <t>MTR-20600</t>
  </si>
  <si>
    <t>MTR-20601</t>
  </si>
  <si>
    <t>MTR-20602</t>
  </si>
  <si>
    <t>MTR-20603</t>
  </si>
  <si>
    <t>MTR-20604</t>
  </si>
  <si>
    <t>MTR-20605</t>
  </si>
  <si>
    <t>MTR-20606</t>
  </si>
  <si>
    <t>MTR-20607</t>
  </si>
  <si>
    <t>MTR-20608</t>
  </si>
  <si>
    <t>MTR-20609</t>
  </si>
  <si>
    <t>MTR-20610</t>
  </si>
  <si>
    <t>MTR-20611</t>
  </si>
  <si>
    <t>MTR-20612</t>
  </si>
  <si>
    <t>MTR-20613</t>
  </si>
  <si>
    <t>MTR-20614</t>
  </si>
  <si>
    <t>MTR-20615</t>
  </si>
  <si>
    <t>MTR-20616</t>
  </si>
  <si>
    <t>MTR-20617</t>
  </si>
  <si>
    <t>MTR-20618</t>
  </si>
  <si>
    <t>MTR-20619</t>
  </si>
  <si>
    <t>MTR-20620</t>
  </si>
  <si>
    <t>MTR-20621</t>
  </si>
  <si>
    <t>MTR-20622</t>
  </si>
  <si>
    <t>MTR-20623</t>
  </si>
  <si>
    <t>MTR-20624</t>
  </si>
  <si>
    <t>MTR-20625</t>
  </si>
  <si>
    <t>MTR-20626</t>
  </si>
  <si>
    <t>MTR-20627</t>
  </si>
  <si>
    <t>MTR-20628</t>
  </si>
  <si>
    <t>MTR-20629</t>
  </si>
  <si>
    <t>MTR-20630</t>
  </si>
  <si>
    <t>MTR-20631</t>
  </si>
  <si>
    <t>MTR-20632</t>
  </si>
  <si>
    <t>MTR-20633</t>
  </si>
  <si>
    <t>MTR-20634</t>
  </si>
  <si>
    <t>MTR-20635</t>
  </si>
  <si>
    <t>MTR-20636</t>
  </si>
  <si>
    <t>MTR-20637</t>
  </si>
  <si>
    <t>MTR-20638</t>
  </si>
  <si>
    <t>MTR-20639</t>
  </si>
  <si>
    <t>MTR-20640</t>
  </si>
  <si>
    <t>MTR-20641</t>
  </si>
  <si>
    <t>MTR-20642</t>
  </si>
  <si>
    <t>MTR-20643</t>
  </si>
  <si>
    <t>MTR-20644</t>
  </si>
  <si>
    <t>MTR-20645</t>
  </si>
  <si>
    <t>MTR-20646</t>
  </si>
  <si>
    <t>MTR-20647</t>
  </si>
  <si>
    <t>MTR-20648</t>
  </si>
  <si>
    <t>MTR-20649</t>
  </si>
  <si>
    <t>MTR-20650</t>
  </si>
  <si>
    <t>MTR-20651</t>
  </si>
  <si>
    <t>MTR-20652</t>
  </si>
  <si>
    <t>MTR-20653</t>
  </si>
  <si>
    <t>MTR-20654</t>
  </si>
  <si>
    <t>MTR-20655</t>
  </si>
  <si>
    <t>MTR-20656</t>
  </si>
  <si>
    <t>MTR-20657</t>
  </si>
  <si>
    <t>MTR-20658</t>
  </si>
  <si>
    <t>MTR-20659</t>
  </si>
  <si>
    <t>MTR-20660</t>
  </si>
  <si>
    <t>MTR-20661</t>
  </si>
  <si>
    <t>MTR-20662</t>
  </si>
  <si>
    <t>MTR-20663</t>
  </si>
  <si>
    <t>MTR-20664</t>
  </si>
  <si>
    <t>MTR-20665</t>
  </si>
  <si>
    <t>MTR-20666</t>
  </si>
  <si>
    <t>MTR-20667</t>
  </si>
  <si>
    <t>MTR-20668</t>
  </si>
  <si>
    <t>MTR-20669</t>
  </si>
  <si>
    <t>MTR-20670</t>
  </si>
  <si>
    <t>MTR-20671</t>
  </si>
  <si>
    <t>MTR-20672</t>
  </si>
  <si>
    <t>MTR-20673</t>
  </si>
  <si>
    <t>MTR-20674</t>
  </si>
  <si>
    <t>MTR-20675</t>
  </si>
  <si>
    <t>MTR-20676</t>
  </si>
  <si>
    <t>MTR-20677</t>
  </si>
  <si>
    <t>MTR-20678</t>
  </si>
  <si>
    <t>MTR-20679</t>
  </si>
  <si>
    <t>MTR-20680</t>
  </si>
  <si>
    <t>MTR-20681</t>
  </si>
  <si>
    <t>MTR-20682</t>
  </si>
  <si>
    <t>MTR-20683</t>
  </si>
  <si>
    <t>MTR-20684</t>
  </si>
  <si>
    <t>MTR-20685</t>
  </si>
  <si>
    <t>MTR-20686</t>
  </si>
  <si>
    <t>MTR-20687</t>
  </si>
  <si>
    <t>MTR-20688</t>
  </si>
  <si>
    <t>MTR-20689</t>
  </si>
  <si>
    <t>MTR-20690</t>
  </si>
  <si>
    <t>MTR-20691</t>
  </si>
  <si>
    <t>MTR-20692</t>
  </si>
  <si>
    <t>MTR-20693</t>
  </si>
  <si>
    <t>MTR-20694</t>
  </si>
  <si>
    <t>MTR-20695</t>
  </si>
  <si>
    <t>MTR-20696</t>
  </si>
  <si>
    <t>MTR-20697</t>
  </si>
  <si>
    <t>MTR-20698</t>
  </si>
  <si>
    <t>MTR-20699</t>
  </si>
  <si>
    <t>MTR-20700</t>
  </si>
  <si>
    <t>MTR-20701</t>
  </si>
  <si>
    <t>MTR-20702</t>
  </si>
  <si>
    <t>MTR-20703</t>
  </si>
  <si>
    <t>MTR-20704</t>
  </si>
  <si>
    <t>MTR-20705</t>
  </si>
  <si>
    <t>MTR-20706</t>
  </si>
  <si>
    <t>MTR-20707</t>
  </si>
  <si>
    <t>MTR-20708</t>
  </si>
  <si>
    <t>MTR-20709</t>
  </si>
  <si>
    <t>MTR-20710</t>
  </si>
  <si>
    <t>MTR-20711</t>
  </si>
  <si>
    <t>MTR-20712</t>
  </si>
  <si>
    <t>MTR-20713</t>
  </si>
  <si>
    <t>MTR-20714</t>
  </si>
  <si>
    <t>MTR-20715</t>
  </si>
  <si>
    <t>MTR-20716</t>
  </si>
  <si>
    <t>MTR-20717</t>
  </si>
  <si>
    <t>MTR-20718</t>
  </si>
  <si>
    <t>MTR-20719</t>
  </si>
  <si>
    <t>MTR-20720</t>
  </si>
  <si>
    <t>MTR-20721</t>
  </si>
  <si>
    <t>MTR-20722</t>
  </si>
  <si>
    <t>MTR-20723</t>
  </si>
  <si>
    <t>MTR-20724</t>
  </si>
  <si>
    <t>MTR-20725</t>
  </si>
  <si>
    <t>MTR-20726</t>
  </si>
  <si>
    <t>MTR-20727</t>
  </si>
  <si>
    <t>MTR-20728</t>
  </si>
  <si>
    <t>MTR-20729</t>
  </si>
  <si>
    <t>MTR-20730</t>
  </si>
  <si>
    <t>MTR-20731</t>
  </si>
  <si>
    <t>MTR-20732</t>
  </si>
  <si>
    <t>MTR-20733</t>
  </si>
  <si>
    <t>MTR-20734</t>
  </si>
  <si>
    <t>MTR-20735</t>
  </si>
  <si>
    <t>MTR-20736</t>
  </si>
  <si>
    <t>MTR-20737</t>
  </si>
  <si>
    <t>MTR-20738</t>
  </si>
  <si>
    <t>MTR-20739</t>
  </si>
  <si>
    <t>MTR-20740</t>
  </si>
  <si>
    <t>MTR-20741</t>
  </si>
  <si>
    <t>MTR-20742</t>
  </si>
  <si>
    <t>MTR-20743</t>
  </si>
  <si>
    <t>MTR-20744</t>
  </si>
  <si>
    <t>MTR-20745</t>
  </si>
  <si>
    <t>MTR-20746</t>
  </si>
  <si>
    <t>MTR-20747</t>
  </si>
  <si>
    <t>MTR-20748</t>
  </si>
  <si>
    <t>MTR-20749</t>
  </si>
  <si>
    <t>MTR-20750</t>
  </si>
  <si>
    <t>MTR-20751</t>
  </si>
  <si>
    <t>MTR-20752</t>
  </si>
  <si>
    <t>MTR-20753</t>
  </si>
  <si>
    <t>MTR-20754</t>
  </si>
  <si>
    <t>MTR-20755</t>
  </si>
  <si>
    <t>MTR-20756</t>
  </si>
  <si>
    <t>MTR-20757</t>
  </si>
  <si>
    <t>MTR-20758</t>
  </si>
  <si>
    <t>MTR-20759</t>
  </si>
  <si>
    <t>MTR-20760</t>
  </si>
  <si>
    <t>MTR-20761</t>
  </si>
  <si>
    <t>MTR-20762</t>
  </si>
  <si>
    <t>MTR-20763</t>
  </si>
  <si>
    <t>MTR-20764</t>
  </si>
  <si>
    <t>MTR-20765</t>
  </si>
  <si>
    <t>MTR-20766</t>
  </si>
  <si>
    <t>MTR-20767</t>
  </si>
  <si>
    <t>MTR-20768</t>
  </si>
  <si>
    <t>MTR-20769</t>
  </si>
  <si>
    <t>MTR-20770</t>
  </si>
  <si>
    <t>MTR-20771</t>
  </si>
  <si>
    <t>MTR-20772</t>
  </si>
  <si>
    <t>MTR-20773</t>
  </si>
  <si>
    <t>MTR-20774</t>
  </si>
  <si>
    <t>MTR-20775</t>
  </si>
  <si>
    <t>MTR-20776</t>
  </si>
  <si>
    <t>MTR-20777</t>
  </si>
  <si>
    <t>MTR-20778</t>
  </si>
  <si>
    <t>MTR-20779</t>
  </si>
  <si>
    <t>MTR-20780</t>
  </si>
  <si>
    <t>MTR-20781</t>
  </si>
  <si>
    <t>MTR-20782</t>
  </si>
  <si>
    <t>MTR-20783</t>
  </si>
  <si>
    <t>MTR-20784</t>
  </si>
  <si>
    <t>MTR-20785</t>
  </si>
  <si>
    <t>MTR-20786</t>
  </si>
  <si>
    <t>MTR-20787</t>
  </si>
  <si>
    <t>MTR-20788</t>
  </si>
  <si>
    <t>MTR-20789</t>
  </si>
  <si>
    <t>MTR-20790</t>
  </si>
  <si>
    <t>MTR-20791</t>
  </si>
  <si>
    <t>MTR-20792</t>
  </si>
  <si>
    <t>MTR-20793</t>
  </si>
  <si>
    <t>MTR-20794</t>
  </si>
  <si>
    <t>MTR-20795</t>
  </si>
  <si>
    <t>MTR-20796</t>
  </si>
  <si>
    <t>MTR-20797</t>
  </si>
  <si>
    <t>MTR-20798</t>
  </si>
  <si>
    <t>MTR-20799</t>
  </si>
  <si>
    <t>MTR-20800</t>
  </si>
  <si>
    <t>MTR-20801</t>
  </si>
  <si>
    <t>MTR-20802</t>
  </si>
  <si>
    <t>MTR-20803</t>
  </si>
  <si>
    <t>MTR-20804</t>
  </si>
  <si>
    <t>MTR-20805</t>
  </si>
  <si>
    <t>MTR-20806</t>
  </si>
  <si>
    <t>MTR-20807</t>
  </si>
  <si>
    <t>MTR-20808</t>
  </si>
  <si>
    <t>MTR-20809</t>
  </si>
  <si>
    <t>MTR-20810</t>
  </si>
  <si>
    <t>MTR-20811</t>
  </si>
  <si>
    <t>MTR-20812</t>
  </si>
  <si>
    <t>MTR-20813</t>
  </si>
  <si>
    <t>MTR-20814</t>
  </si>
  <si>
    <t>MTR-20815</t>
  </si>
  <si>
    <t>MTR-20816</t>
  </si>
  <si>
    <t>MTR-20817</t>
  </si>
  <si>
    <t>MTR-20818</t>
  </si>
  <si>
    <t>MTR-20819</t>
  </si>
  <si>
    <t>MTR-20820</t>
  </si>
  <si>
    <t>MTR-20821</t>
  </si>
  <si>
    <t>MTR-20822</t>
  </si>
  <si>
    <t>MTR-20823</t>
  </si>
  <si>
    <t>MTR-20824</t>
  </si>
  <si>
    <t>MTR-20825</t>
  </si>
  <si>
    <t>MTR-20826</t>
  </si>
  <si>
    <t>MTR-20827</t>
  </si>
  <si>
    <t>MTR-20828</t>
  </si>
  <si>
    <t>MTR-20829</t>
  </si>
  <si>
    <t>MTR-20830</t>
  </si>
  <si>
    <t>MTR-20831</t>
  </si>
  <si>
    <t>MTR-20832</t>
  </si>
  <si>
    <t>MTR-20833</t>
  </si>
  <si>
    <t>MTR-20834</t>
  </si>
  <si>
    <t>MTR-20835</t>
  </si>
  <si>
    <t>MTR-20836</t>
  </si>
  <si>
    <t>MTR-20837</t>
  </si>
  <si>
    <t>MTR-20838</t>
  </si>
  <si>
    <t>MTR-20839</t>
  </si>
  <si>
    <t>MTR-20840</t>
  </si>
  <si>
    <t>MTR-20841</t>
  </si>
  <si>
    <t>MTR-20842</t>
  </si>
  <si>
    <t>MTR-20843</t>
  </si>
  <si>
    <t>MTR-20844</t>
  </si>
  <si>
    <t>MTR-20845</t>
  </si>
  <si>
    <t>MTR-20846</t>
  </si>
  <si>
    <t>MTR-20847</t>
  </si>
  <si>
    <t>MTR-20848</t>
  </si>
  <si>
    <t>MTR-20849</t>
  </si>
  <si>
    <t>MTR-20850</t>
  </si>
  <si>
    <t>MTR-20851</t>
  </si>
  <si>
    <t>MTR-20852</t>
  </si>
  <si>
    <t>MTR-20853</t>
  </si>
  <si>
    <t>MTR-20854</t>
  </si>
  <si>
    <t>MTR-20855</t>
  </si>
  <si>
    <t>MTR-20856</t>
  </si>
  <si>
    <t>MTR-20857</t>
  </si>
  <si>
    <t>MTR-20858</t>
  </si>
  <si>
    <t>MTR-20859</t>
  </si>
  <si>
    <t>MTR-20860</t>
  </si>
  <si>
    <t>MTR-20861</t>
  </si>
  <si>
    <t>MTR-20862</t>
  </si>
  <si>
    <t>MTR-20863</t>
  </si>
  <si>
    <t>MTR-20864</t>
  </si>
  <si>
    <t>MTR-20865</t>
  </si>
  <si>
    <t>MTR-20866</t>
  </si>
  <si>
    <t>MTR-20867</t>
  </si>
  <si>
    <t>MTR-20868</t>
  </si>
  <si>
    <t>MTR-20869</t>
  </si>
  <si>
    <t>MTR-20870</t>
  </si>
  <si>
    <t>MTR-20871</t>
  </si>
  <si>
    <t>MTR-20872</t>
  </si>
  <si>
    <t>MTR-20873</t>
  </si>
  <si>
    <t>MTR-20874</t>
  </si>
  <si>
    <t>MTR-20875</t>
  </si>
  <si>
    <t>MTR-20876</t>
  </si>
  <si>
    <t>MTR-20877</t>
  </si>
  <si>
    <t>MTR-20878</t>
  </si>
  <si>
    <t>MTR-20879</t>
  </si>
  <si>
    <t>MTR-20880</t>
  </si>
  <si>
    <t>MTR-20881</t>
  </si>
  <si>
    <t>MTR-20882</t>
  </si>
  <si>
    <t>MTR-20883</t>
  </si>
  <si>
    <t>MTR-20884</t>
  </si>
  <si>
    <t>MTR-20885</t>
  </si>
  <si>
    <t>MTR-20886</t>
  </si>
  <si>
    <t>MTR-20887</t>
  </si>
  <si>
    <t>MTR-20888</t>
  </si>
  <si>
    <t>MTR-20889</t>
  </si>
  <si>
    <t>MTR-20890</t>
  </si>
  <si>
    <t>MTR-20891</t>
  </si>
  <si>
    <t>MTR-20892</t>
  </si>
  <si>
    <t>MTR-20893</t>
  </si>
  <si>
    <t>MTR-20894</t>
  </si>
  <si>
    <t>MTR-20895</t>
  </si>
  <si>
    <t>MTR-20896</t>
  </si>
  <si>
    <t>MTR-20897</t>
  </si>
  <si>
    <t>MTR-20898</t>
  </si>
  <si>
    <t>MTR-20899</t>
  </si>
  <si>
    <t>ILG-30000</t>
  </si>
  <si>
    <t>Community Report</t>
  </si>
  <si>
    <t>ILG-30002</t>
  </si>
  <si>
    <t>ILG-30004</t>
  </si>
  <si>
    <t>Ops Team</t>
  </si>
  <si>
    <t>ILG-30006</t>
  </si>
  <si>
    <t>Inspector</t>
  </si>
  <si>
    <t>ILG-30007</t>
  </si>
  <si>
    <t>ILG-30009</t>
  </si>
  <si>
    <t>ILG-30012</t>
  </si>
  <si>
    <t>ILG-30013</t>
  </si>
  <si>
    <t>ILG-30014</t>
  </si>
  <si>
    <t>ILG-30019</t>
  </si>
  <si>
    <t>ILG-30020</t>
  </si>
  <si>
    <t>ILG-30022</t>
  </si>
  <si>
    <t>ILG-30024</t>
  </si>
  <si>
    <t>ILG-30025</t>
  </si>
  <si>
    <t>ILG-30026</t>
  </si>
  <si>
    <t>ILG-30028</t>
  </si>
  <si>
    <t>ILG-30029</t>
  </si>
  <si>
    <t>ILG-30030</t>
  </si>
  <si>
    <t>ILG-30033</t>
  </si>
  <si>
    <t>ILG-30035</t>
  </si>
  <si>
    <t>ILG-30036</t>
  </si>
  <si>
    <t>ILG-30037</t>
  </si>
  <si>
    <t>ILG-30038</t>
  </si>
  <si>
    <t>ILG-30039</t>
  </si>
  <si>
    <t>ILG-30040</t>
  </si>
  <si>
    <t>ILG-30041</t>
  </si>
  <si>
    <t>ILG-30042</t>
  </si>
  <si>
    <t>ILG-30044</t>
  </si>
  <si>
    <t>ILG-30045</t>
  </si>
  <si>
    <t>ILG-30046</t>
  </si>
  <si>
    <t>ILG-30047</t>
  </si>
  <si>
    <t>ILG-30048</t>
  </si>
  <si>
    <t>ILG-30049</t>
  </si>
  <si>
    <t>ILG-30050</t>
  </si>
  <si>
    <t>ILG-30055</t>
  </si>
  <si>
    <t>ILG-30056</t>
  </si>
  <si>
    <t>ILG-30058</t>
  </si>
  <si>
    <t>ILG-30059</t>
  </si>
  <si>
    <t>ILG-30060</t>
  </si>
  <si>
    <t>ILG-30062</t>
  </si>
  <si>
    <t>ILG-30063</t>
  </si>
  <si>
    <t>ILG-30064</t>
  </si>
  <si>
    <t>ILG-30065</t>
  </si>
  <si>
    <t>ILG-30066</t>
  </si>
  <si>
    <t>ILG-30067</t>
  </si>
  <si>
    <t>ILG-30069</t>
  </si>
  <si>
    <t>ILG-30071</t>
  </si>
  <si>
    <t>ILG-30072</t>
  </si>
  <si>
    <t>ILG-30073</t>
  </si>
  <si>
    <t>ILG-30074</t>
  </si>
  <si>
    <t>ILG-30075</t>
  </si>
  <si>
    <t>ILG-30077</t>
  </si>
  <si>
    <t>ILG-30078</t>
  </si>
  <si>
    <t>ILG-30079</t>
  </si>
  <si>
    <t>ILG-30081</t>
  </si>
  <si>
    <t>ILG-30082</t>
  </si>
  <si>
    <t>ILG-30084</t>
  </si>
  <si>
    <t>ILG-30086</t>
  </si>
  <si>
    <t>ILG-30087</t>
  </si>
  <si>
    <t>ILG-30088</t>
  </si>
  <si>
    <t>ILG-30090</t>
  </si>
  <si>
    <t>ILG-30092</t>
  </si>
  <si>
    <t>ILG-30094</t>
  </si>
  <si>
    <t>ILG-30095</t>
  </si>
  <si>
    <t>ILG-30096</t>
  </si>
  <si>
    <t>ILG-30098</t>
  </si>
  <si>
    <t>ILG-30099</t>
  </si>
  <si>
    <t>ILG-30101</t>
  </si>
  <si>
    <t>ILG-30102</t>
  </si>
  <si>
    <t>ILG-30103</t>
  </si>
  <si>
    <t>ILG-30105</t>
  </si>
  <si>
    <t>ILG-30109</t>
  </si>
  <si>
    <t>ILG-30111</t>
  </si>
  <si>
    <t>ILG-30112</t>
  </si>
  <si>
    <t>ILG-30113</t>
  </si>
  <si>
    <t>ILG-30114</t>
  </si>
  <si>
    <t>ILG-30115</t>
  </si>
  <si>
    <t>ILG-30116</t>
  </si>
  <si>
    <t>ILG-30118</t>
  </si>
  <si>
    <t>ILG-30119</t>
  </si>
  <si>
    <t>ILG-30123</t>
  </si>
  <si>
    <t>ILG-30124</t>
  </si>
  <si>
    <t>ILG-30125</t>
  </si>
  <si>
    <t>ILG-30126</t>
  </si>
  <si>
    <t>ILG-30127</t>
  </si>
  <si>
    <t>ILG-30128</t>
  </si>
  <si>
    <t>ILG-30131</t>
  </si>
  <si>
    <t>ILG-30132</t>
  </si>
  <si>
    <t>ILG-30134</t>
  </si>
  <si>
    <t>ILG-30135</t>
  </si>
  <si>
    <t>ILG-30137</t>
  </si>
  <si>
    <t>ILG-30138</t>
  </si>
  <si>
    <t>ILG-30139</t>
  </si>
  <si>
    <t>ILG-30140</t>
  </si>
  <si>
    <t>ILG-30141</t>
  </si>
  <si>
    <t>ILG-30142</t>
  </si>
  <si>
    <t>ILG-30143</t>
  </si>
  <si>
    <t>ILG-30146</t>
  </si>
  <si>
    <t>ILG-30147</t>
  </si>
  <si>
    <t>ILG-30149</t>
  </si>
  <si>
    <t>ILG-30150</t>
  </si>
  <si>
    <t>ILG-30151</t>
  </si>
  <si>
    <t>ILG-30152</t>
  </si>
  <si>
    <t>ILG-30153</t>
  </si>
  <si>
    <t>ILG-30155</t>
  </si>
  <si>
    <t>ILG-30156</t>
  </si>
  <si>
    <t>ILG-30157</t>
  </si>
  <si>
    <t>ILG-30158</t>
  </si>
  <si>
    <t>ILG-30159</t>
  </si>
  <si>
    <t>ILG-30160</t>
  </si>
  <si>
    <t>ILG-30161</t>
  </si>
  <si>
    <t>ILG-30162</t>
  </si>
  <si>
    <t>ILG-30163</t>
  </si>
  <si>
    <t>ILG-30164</t>
  </si>
  <si>
    <t>ILG-30165</t>
  </si>
  <si>
    <t>ILG-30166</t>
  </si>
  <si>
    <t>ILG-30167</t>
  </si>
  <si>
    <t>ILG-30168</t>
  </si>
  <si>
    <t>ILG-30169</t>
  </si>
  <si>
    <t>ILG-30171</t>
  </si>
  <si>
    <t>ILG-30172</t>
  </si>
  <si>
    <t>ILG-30173</t>
  </si>
  <si>
    <t>ILG-30174</t>
  </si>
  <si>
    <t>ILG-30175</t>
  </si>
  <si>
    <t>ILG-30176</t>
  </si>
  <si>
    <t>ILG-30178</t>
  </si>
  <si>
    <t>ILG-30179</t>
  </si>
  <si>
    <t>ILG-30180</t>
  </si>
  <si>
    <t>ILG-30181</t>
  </si>
  <si>
    <t>ILG-30183</t>
  </si>
  <si>
    <t>ILG-30184</t>
  </si>
  <si>
    <t>ILG-30185</t>
  </si>
  <si>
    <t>ILG-30186</t>
  </si>
  <si>
    <t>ILG-30188</t>
  </si>
  <si>
    <t>ILG-30189</t>
  </si>
  <si>
    <t>ILG-30190</t>
  </si>
  <si>
    <t>ILG-30191</t>
  </si>
  <si>
    <t>ILG-30195</t>
  </si>
  <si>
    <t>ILG-30196</t>
  </si>
  <si>
    <t>ILG-30198</t>
  </si>
  <si>
    <t>ILG-30200</t>
  </si>
  <si>
    <t>ILG-30201</t>
  </si>
  <si>
    <t>ILG-30202</t>
  </si>
  <si>
    <t>ILG-30203</t>
  </si>
  <si>
    <t>ILG-30204</t>
  </si>
  <si>
    <t>ILG-30205</t>
  </si>
  <si>
    <t>ILG-30206</t>
  </si>
  <si>
    <t>ILG-30207</t>
  </si>
  <si>
    <t>ILG-30208</t>
  </si>
  <si>
    <t>ILG-30209</t>
  </si>
  <si>
    <t>ILG-30211</t>
  </si>
  <si>
    <t>ILG-30212</t>
  </si>
  <si>
    <t>ILG-30213</t>
  </si>
  <si>
    <t>ILG-30214</t>
  </si>
  <si>
    <t>ILG-30215</t>
  </si>
  <si>
    <t>ILG-30216</t>
  </si>
  <si>
    <t>ILG-30217</t>
  </si>
  <si>
    <t>ILG-30218</t>
  </si>
  <si>
    <t>ILG-30221</t>
  </si>
  <si>
    <t>ILG-30222</t>
  </si>
  <si>
    <t>ILG-30223</t>
  </si>
  <si>
    <t>ILG-30224</t>
  </si>
  <si>
    <t>ILG-30226</t>
  </si>
  <si>
    <t>ILG-30227</t>
  </si>
  <si>
    <t>ILG-30228</t>
  </si>
  <si>
    <t>ILG-30229</t>
  </si>
  <si>
    <t>ILG-30230</t>
  </si>
  <si>
    <t>ILG-30232</t>
  </si>
  <si>
    <t>ILG-30233</t>
  </si>
  <si>
    <t>ILG-30234</t>
  </si>
  <si>
    <t>ILG-30235</t>
  </si>
  <si>
    <t>ILG-30236</t>
  </si>
  <si>
    <t>ILG-30237</t>
  </si>
  <si>
    <t>ILG-30239</t>
  </si>
  <si>
    <t>ILG-30240</t>
  </si>
  <si>
    <t>ILG-30241</t>
  </si>
  <si>
    <t>ILG-30242</t>
  </si>
  <si>
    <t>ILG-30243</t>
  </si>
  <si>
    <t>ILG-30244</t>
  </si>
  <si>
    <t>ILG-30246</t>
  </si>
  <si>
    <t>ILG-30247</t>
  </si>
  <si>
    <t>ILG-30248</t>
  </si>
  <si>
    <t>ILG-30249</t>
  </si>
  <si>
    <t>ILG-30251</t>
  </si>
  <si>
    <t>ILG-30253</t>
  </si>
  <si>
    <t>ILG-30254</t>
  </si>
  <si>
    <t>ILG-30255</t>
  </si>
  <si>
    <t>ILG-30256</t>
  </si>
  <si>
    <t>ILG-30257</t>
  </si>
  <si>
    <t>ILG-30258</t>
  </si>
  <si>
    <t>ILG-30259</t>
  </si>
  <si>
    <t>ILG-30260</t>
  </si>
  <si>
    <t>ILG-30261</t>
  </si>
  <si>
    <t>ILG-30264</t>
  </si>
  <si>
    <t>ILG-30265</t>
  </si>
  <si>
    <t>ILG-30266</t>
  </si>
  <si>
    <t>ILG-30269</t>
  </si>
  <si>
    <t>ILG-30270</t>
  </si>
  <si>
    <t>ILG-30271</t>
  </si>
  <si>
    <t>ILG-30272</t>
  </si>
  <si>
    <t>ILG-30273</t>
  </si>
  <si>
    <t>ILG-30274</t>
  </si>
  <si>
    <t>ILG-30275</t>
  </si>
  <si>
    <t>ILG-30276</t>
  </si>
  <si>
    <t>ILG-30277</t>
  </si>
  <si>
    <t>ILG-30278</t>
  </si>
  <si>
    <t>ILG-30279</t>
  </si>
  <si>
    <t>ILG-30280</t>
  </si>
  <si>
    <t>ILG-30281</t>
  </si>
  <si>
    <t>ILG-30282</t>
  </si>
  <si>
    <t>ILG-30283</t>
  </si>
  <si>
    <t>ILG-30284</t>
  </si>
  <si>
    <t>ILG-30285</t>
  </si>
  <si>
    <t>ILG-30286</t>
  </si>
  <si>
    <t>ILG-30287</t>
  </si>
  <si>
    <t>ILG-30288</t>
  </si>
  <si>
    <t>ILG-30289</t>
  </si>
  <si>
    <t>ILG-30290</t>
  </si>
  <si>
    <t>ILG-30291</t>
  </si>
  <si>
    <t>ILG-30292</t>
  </si>
  <si>
    <t>ILG-30293</t>
  </si>
  <si>
    <t>ILG-30294</t>
  </si>
  <si>
    <t>ILG-30295</t>
  </si>
  <si>
    <t>ILG-30296</t>
  </si>
  <si>
    <t>ILG-30297</t>
  </si>
  <si>
    <t>ILG-30298</t>
  </si>
  <si>
    <t>ILG-30299</t>
  </si>
  <si>
    <t>ILG-30301</t>
  </si>
  <si>
    <t>ILG-30302</t>
  </si>
  <si>
    <t>ILG-30303</t>
  </si>
  <si>
    <t>ILG-30304</t>
  </si>
  <si>
    <t>ILG-30305</t>
  </si>
  <si>
    <t>ILG-30306</t>
  </si>
  <si>
    <t>ILG-30307</t>
  </si>
  <si>
    <t>ILG-30308</t>
  </si>
  <si>
    <t>ILG-30309</t>
  </si>
  <si>
    <t>ILG-30310</t>
  </si>
  <si>
    <t>ILG-30311</t>
  </si>
  <si>
    <t>ILG-30312</t>
  </si>
  <si>
    <t>ILG-30313</t>
  </si>
  <si>
    <t>ILG-30314</t>
  </si>
  <si>
    <t>ILG-30317</t>
  </si>
  <si>
    <t>ILG-30318</t>
  </si>
  <si>
    <t>ILG-30319</t>
  </si>
  <si>
    <t>ILG-30320</t>
  </si>
  <si>
    <t>ILG-30321</t>
  </si>
  <si>
    <t>ILG-30322</t>
  </si>
  <si>
    <t>ILG-30323</t>
  </si>
  <si>
    <t>ILG-30324</t>
  </si>
  <si>
    <t>ILG-30325</t>
  </si>
  <si>
    <t>ILG-30326</t>
  </si>
  <si>
    <t>ILG-30327</t>
  </si>
  <si>
    <t>ILG-30328</t>
  </si>
  <si>
    <t>ILG-30329</t>
  </si>
  <si>
    <t>ILG-30330</t>
  </si>
  <si>
    <t>ILG-30331</t>
  </si>
  <si>
    <t>ILG-30333</t>
  </si>
  <si>
    <t>ILG-30334</t>
  </si>
  <si>
    <t>ILG-30335</t>
  </si>
  <si>
    <t>ILG-30336</t>
  </si>
  <si>
    <t>ILG-30337</t>
  </si>
  <si>
    <t>ILG-30338</t>
  </si>
  <si>
    <t>ILG-30339</t>
  </si>
  <si>
    <t>ILG-30340</t>
  </si>
  <si>
    <t>ILG-30341</t>
  </si>
  <si>
    <t>ILG-30344</t>
  </si>
  <si>
    <t>ILG-30345</t>
  </si>
  <si>
    <t>ILG-30346</t>
  </si>
  <si>
    <t>ILG-30347</t>
  </si>
  <si>
    <t>ILG-30350</t>
  </si>
  <si>
    <t>ILG-30351</t>
  </si>
  <si>
    <t>ILG-30353</t>
  </si>
  <si>
    <t>ILG-30355</t>
  </si>
  <si>
    <t>ILG-30358</t>
  </si>
  <si>
    <t>ILG-30359</t>
  </si>
  <si>
    <t>ILG-30361</t>
  </si>
  <si>
    <t>ILG-30362</t>
  </si>
  <si>
    <t>ILG-30363</t>
  </si>
  <si>
    <t>ILG-30364</t>
  </si>
  <si>
    <t>ILG-30366</t>
  </si>
  <si>
    <t>ILG-30368</t>
  </si>
  <si>
    <t>ILG-30369</t>
  </si>
  <si>
    <t>ILG-30370</t>
  </si>
  <si>
    <t>ILG-30371</t>
  </si>
  <si>
    <t>ILG-30372</t>
  </si>
  <si>
    <t>ILG-30373</t>
  </si>
  <si>
    <t>ILG-30374</t>
  </si>
  <si>
    <t>ILG-30375</t>
  </si>
  <si>
    <t>ILG-30376</t>
  </si>
  <si>
    <t>ILG-30377</t>
  </si>
  <si>
    <t>ILG-30379</t>
  </si>
  <si>
    <t>ILG-30381</t>
  </si>
  <si>
    <t>ILG-30382</t>
  </si>
  <si>
    <t>ILG-30383</t>
  </si>
  <si>
    <t>ILG-30384</t>
  </si>
  <si>
    <t>ILG-30385</t>
  </si>
  <si>
    <t>ILG-30386</t>
  </si>
  <si>
    <t>ILG-30387</t>
  </si>
  <si>
    <t>ILG-30388</t>
  </si>
  <si>
    <t>ILG-30390</t>
  </si>
  <si>
    <t>ILG-30391</t>
  </si>
  <si>
    <t>ILG-30392</t>
  </si>
  <si>
    <t>ILG-30393</t>
  </si>
  <si>
    <t>ILG-30394</t>
  </si>
  <si>
    <t>ILG-30395</t>
  </si>
  <si>
    <t>ILG-30397</t>
  </si>
  <si>
    <t>ILG-30398</t>
  </si>
  <si>
    <t>ILG-30399</t>
  </si>
  <si>
    <t>MT-40000</t>
  </si>
  <si>
    <t>Planned</t>
  </si>
  <si>
    <t>In-house</t>
  </si>
  <si>
    <t>MT-40001</t>
  </si>
  <si>
    <t>MT-40002</t>
  </si>
  <si>
    <t>Overhaul</t>
  </si>
  <si>
    <t>MT-40004</t>
  </si>
  <si>
    <t>Reactive</t>
  </si>
  <si>
    <t>MT-40006</t>
  </si>
  <si>
    <t>MT-40007</t>
  </si>
  <si>
    <t>MT-40009</t>
  </si>
  <si>
    <t>MT-40010</t>
  </si>
  <si>
    <t>MT-40011</t>
  </si>
  <si>
    <t>Inspection</t>
  </si>
  <si>
    <t>MT-40012</t>
  </si>
  <si>
    <t>MT-40015</t>
  </si>
  <si>
    <t>MT-40016</t>
  </si>
  <si>
    <t>MT-40017</t>
  </si>
  <si>
    <t>MT-40018</t>
  </si>
  <si>
    <t>MT-40019</t>
  </si>
  <si>
    <t>MT-40022</t>
  </si>
  <si>
    <t>MT-40023</t>
  </si>
  <si>
    <t>MT-40024</t>
  </si>
  <si>
    <t>MT-40026</t>
  </si>
  <si>
    <t>MT-40027</t>
  </si>
  <si>
    <t>MT-40028</t>
  </si>
  <si>
    <t>MT-40029</t>
  </si>
  <si>
    <t>MT-40031</t>
  </si>
  <si>
    <t>MT-40033</t>
  </si>
  <si>
    <t>MT-40034</t>
  </si>
  <si>
    <t>MT-40037</t>
  </si>
  <si>
    <t>MT-40038</t>
  </si>
  <si>
    <t>MT-40041</t>
  </si>
  <si>
    <t>MT-40043</t>
  </si>
  <si>
    <t>MT-40044</t>
  </si>
  <si>
    <t>MT-40045</t>
  </si>
  <si>
    <t>MT-40046</t>
  </si>
  <si>
    <t>MT-40047</t>
  </si>
  <si>
    <t>MT-40048</t>
  </si>
  <si>
    <t>MT-40049</t>
  </si>
  <si>
    <t>MT-40050</t>
  </si>
  <si>
    <t>MT-40051</t>
  </si>
  <si>
    <t>MT-40052</t>
  </si>
  <si>
    <t>MT-40054</t>
  </si>
  <si>
    <t>MT-40057</t>
  </si>
  <si>
    <t>MT-40059</t>
  </si>
  <si>
    <t>MT-40060</t>
  </si>
  <si>
    <t>MT-40061</t>
  </si>
  <si>
    <t>MT-40062</t>
  </si>
  <si>
    <t>MT-40063</t>
  </si>
  <si>
    <t>MT-40064</t>
  </si>
  <si>
    <t>MT-40066</t>
  </si>
  <si>
    <t>MT-40067</t>
  </si>
  <si>
    <t>MT-40068</t>
  </si>
  <si>
    <t>MT-40069</t>
  </si>
  <si>
    <t>MT-40070</t>
  </si>
  <si>
    <t>MT-40071</t>
  </si>
  <si>
    <t>MT-40073</t>
  </si>
  <si>
    <t>MT-40074</t>
  </si>
  <si>
    <t>MT-40075</t>
  </si>
  <si>
    <t>MT-40077</t>
  </si>
  <si>
    <t>MT-40078</t>
  </si>
  <si>
    <t>MT-40080</t>
  </si>
  <si>
    <t>MT-40081</t>
  </si>
  <si>
    <t>MT-40082</t>
  </si>
  <si>
    <t>MT-40083</t>
  </si>
  <si>
    <t>MT-40084</t>
  </si>
  <si>
    <t>MT-40085</t>
  </si>
  <si>
    <t>MT-40087</t>
  </si>
  <si>
    <t>MT-40088</t>
  </si>
  <si>
    <t>MT-40089</t>
  </si>
  <si>
    <t>MT-40090</t>
  </si>
  <si>
    <t>MT-40091</t>
  </si>
  <si>
    <t>MT-40092</t>
  </si>
  <si>
    <t>MT-40093</t>
  </si>
  <si>
    <t>MT-40094</t>
  </si>
  <si>
    <t>MT-40095</t>
  </si>
  <si>
    <t>MT-40096</t>
  </si>
  <si>
    <t>MT-40097</t>
  </si>
  <si>
    <t>MT-40100</t>
  </si>
  <si>
    <t>MT-40101</t>
  </si>
  <si>
    <t>MT-40102</t>
  </si>
  <si>
    <t>MT-40103</t>
  </si>
  <si>
    <t>MT-40105</t>
  </si>
  <si>
    <t>MT-40106</t>
  </si>
  <si>
    <t>MT-40107</t>
  </si>
  <si>
    <t>MT-40108</t>
  </si>
  <si>
    <t>MT-40109</t>
  </si>
  <si>
    <t>MT-40110</t>
  </si>
  <si>
    <t>MT-40111</t>
  </si>
  <si>
    <t>MT-40112</t>
  </si>
  <si>
    <t>MT-40115</t>
  </si>
  <si>
    <t>MT-40116</t>
  </si>
  <si>
    <t>MT-40117</t>
  </si>
  <si>
    <t>MT-40118</t>
  </si>
  <si>
    <t>MT-40119</t>
  </si>
  <si>
    <t>MT-40120</t>
  </si>
  <si>
    <t>MT-40121</t>
  </si>
  <si>
    <t>MT-40122</t>
  </si>
  <si>
    <t>MT-40123</t>
  </si>
  <si>
    <t>MT-40124</t>
  </si>
  <si>
    <t>MT-40125</t>
  </si>
  <si>
    <t>MT-40128</t>
  </si>
  <si>
    <t>MT-40129</t>
  </si>
  <si>
    <t>MT-40130</t>
  </si>
  <si>
    <t>MT-40131</t>
  </si>
  <si>
    <t>MT-40132</t>
  </si>
  <si>
    <t>MT-40133</t>
  </si>
  <si>
    <t>MT-40134</t>
  </si>
  <si>
    <t>MT-40136</t>
  </si>
  <si>
    <t>MT-40137</t>
  </si>
  <si>
    <t>MT-40138</t>
  </si>
  <si>
    <t>MT-40140</t>
  </si>
  <si>
    <t>MT-40141</t>
  </si>
  <si>
    <t>MT-40142</t>
  </si>
  <si>
    <t>MT-40143</t>
  </si>
  <si>
    <t>MT-40144</t>
  </si>
  <si>
    <t>MT-40145</t>
  </si>
  <si>
    <t>MT-40146</t>
  </si>
  <si>
    <t>MT-40149</t>
  </si>
  <si>
    <t>MT-40150</t>
  </si>
  <si>
    <t>MT-40151</t>
  </si>
  <si>
    <t>MT-40155</t>
  </si>
  <si>
    <t>MT-40156</t>
  </si>
  <si>
    <t>MT-40157</t>
  </si>
  <si>
    <t>MT-40159</t>
  </si>
  <si>
    <t>MT-40160</t>
  </si>
  <si>
    <t>MT-40161</t>
  </si>
  <si>
    <t>MT-40162</t>
  </si>
  <si>
    <t>MT-40163</t>
  </si>
  <si>
    <t>MT-40165</t>
  </si>
  <si>
    <t>MT-40166</t>
  </si>
  <si>
    <t>MT-40167</t>
  </si>
  <si>
    <t>MT-40168</t>
  </si>
  <si>
    <t>MT-40169</t>
  </si>
  <si>
    <t>MT-40170</t>
  </si>
  <si>
    <t>MT-40171</t>
  </si>
  <si>
    <t>MT-40172</t>
  </si>
  <si>
    <t>MT-40173</t>
  </si>
  <si>
    <t>MT-40174</t>
  </si>
  <si>
    <t>MT-40175</t>
  </si>
  <si>
    <t>MT-40176</t>
  </si>
  <si>
    <t>MT-40177</t>
  </si>
  <si>
    <t>MT-40179</t>
  </si>
  <si>
    <t>MT-40181</t>
  </si>
  <si>
    <t>MT-40183</t>
  </si>
  <si>
    <t>MT-40184</t>
  </si>
  <si>
    <t>MT-40185</t>
  </si>
  <si>
    <t>MT-40186</t>
  </si>
  <si>
    <t>MT-40187</t>
  </si>
  <si>
    <t>MT-40188</t>
  </si>
  <si>
    <t>MT-40189</t>
  </si>
  <si>
    <t>MT-40190</t>
  </si>
  <si>
    <t>MT-40191</t>
  </si>
  <si>
    <t>MT-40193</t>
  </si>
  <si>
    <t>MT-40194</t>
  </si>
  <si>
    <t>MT-40195</t>
  </si>
  <si>
    <t>MT-40196</t>
  </si>
  <si>
    <t>MT-40197</t>
  </si>
  <si>
    <t>MT-40198</t>
  </si>
  <si>
    <t>MT-40199</t>
  </si>
  <si>
    <t>MT-40200</t>
  </si>
  <si>
    <t>MT-40201</t>
  </si>
  <si>
    <t>MT-40202</t>
  </si>
  <si>
    <t>MT-40203</t>
  </si>
  <si>
    <t>MT-40204</t>
  </si>
  <si>
    <t>MT-40205</t>
  </si>
  <si>
    <t>MT-40206</t>
  </si>
  <si>
    <t>MT-40207</t>
  </si>
  <si>
    <t>MT-40208</t>
  </si>
  <si>
    <t>MT-40210</t>
  </si>
  <si>
    <t>MT-40212</t>
  </si>
  <si>
    <t>MT-40213</t>
  </si>
  <si>
    <t>MT-40214</t>
  </si>
  <si>
    <t>MT-40215</t>
  </si>
  <si>
    <t>MT-40217</t>
  </si>
  <si>
    <t>MT-40218</t>
  </si>
  <si>
    <t>MT-40221</t>
  </si>
  <si>
    <t>MT-40222</t>
  </si>
  <si>
    <t>MT-40223</t>
  </si>
  <si>
    <t>MT-40225</t>
  </si>
  <si>
    <t>MT-40226</t>
  </si>
  <si>
    <t>MT-40227</t>
  </si>
  <si>
    <t>MT-40229</t>
  </si>
  <si>
    <t>MT-40230</t>
  </si>
  <si>
    <t>MT-40231</t>
  </si>
  <si>
    <t>MT-40232</t>
  </si>
  <si>
    <t>MT-40233</t>
  </si>
  <si>
    <t>MT-40234</t>
  </si>
  <si>
    <t>MT-40235</t>
  </si>
  <si>
    <t>MT-40237</t>
  </si>
  <si>
    <t>MT-40238</t>
  </si>
  <si>
    <t>MT-40239</t>
  </si>
  <si>
    <t>MT-40240</t>
  </si>
  <si>
    <t>MT-40241</t>
  </si>
  <si>
    <t>MT-40242</t>
  </si>
  <si>
    <t>MT-40243</t>
  </si>
  <si>
    <t>MT-40244</t>
  </si>
  <si>
    <t>MT-40247</t>
  </si>
  <si>
    <t>MT-40249</t>
  </si>
  <si>
    <t>MT-40250</t>
  </si>
  <si>
    <t>MT-40251</t>
  </si>
  <si>
    <t>MT-40252</t>
  </si>
  <si>
    <t>MT-40253</t>
  </si>
  <si>
    <t>MT-40254</t>
  </si>
  <si>
    <t>MT-40255</t>
  </si>
  <si>
    <t>MT-40256</t>
  </si>
  <si>
    <t>MT-40258</t>
  </si>
  <si>
    <t>MT-40259</t>
  </si>
  <si>
    <t>MT-40260</t>
  </si>
  <si>
    <t>MT-40261</t>
  </si>
  <si>
    <t>MT-40262</t>
  </si>
  <si>
    <t>MT-40263</t>
  </si>
  <si>
    <t>MT-40265</t>
  </si>
  <si>
    <t>MT-40266</t>
  </si>
  <si>
    <t>MT-40267</t>
  </si>
  <si>
    <t>MT-40268</t>
  </si>
  <si>
    <t>MT-40269</t>
  </si>
  <si>
    <t>MT-40270</t>
  </si>
  <si>
    <t>MT-40272</t>
  </si>
  <si>
    <t>MT-40273</t>
  </si>
  <si>
    <t>MT-40275</t>
  </si>
  <si>
    <t>MT-40276</t>
  </si>
  <si>
    <t>MT-40277</t>
  </si>
  <si>
    <t>MT-40278</t>
  </si>
  <si>
    <t>MT-40279</t>
  </si>
  <si>
    <t>MT-40280</t>
  </si>
  <si>
    <t>MT-40282</t>
  </si>
  <si>
    <t>MT-40283</t>
  </si>
  <si>
    <t>MT-40285</t>
  </si>
  <si>
    <t>MT-40286</t>
  </si>
  <si>
    <t>MT-40287</t>
  </si>
  <si>
    <t>MT-40288</t>
  </si>
  <si>
    <t>MT-40289</t>
  </si>
  <si>
    <t>MT-40290</t>
  </si>
  <si>
    <t>MT-40291</t>
  </si>
  <si>
    <t>MT-40292</t>
  </si>
  <si>
    <t>MT-40293</t>
  </si>
  <si>
    <t>MT-40294</t>
  </si>
  <si>
    <t>MT-40296</t>
  </si>
  <si>
    <t>MT-40297</t>
  </si>
  <si>
    <t>MT-40298</t>
  </si>
  <si>
    <t>MT-40299</t>
  </si>
  <si>
    <t>MT-40301</t>
  </si>
  <si>
    <t>MT-40302</t>
  </si>
  <si>
    <t>MT-40303</t>
  </si>
  <si>
    <t>MT-40304</t>
  </si>
  <si>
    <t>MT-40306</t>
  </si>
  <si>
    <t>MT-40307</t>
  </si>
  <si>
    <t>MT-40309</t>
  </si>
  <si>
    <t>MT-40310</t>
  </si>
  <si>
    <t>MT-40311</t>
  </si>
  <si>
    <t>MT-40312</t>
  </si>
  <si>
    <t>MT-40313</t>
  </si>
  <si>
    <t>MT-40314</t>
  </si>
  <si>
    <t>MT-40315</t>
  </si>
  <si>
    <t>MT-40318</t>
  </si>
  <si>
    <t>MT-40319</t>
  </si>
  <si>
    <t>MT-40320</t>
  </si>
  <si>
    <t>MT-40321</t>
  </si>
  <si>
    <t>MT-40322</t>
  </si>
  <si>
    <t>MT-40323</t>
  </si>
  <si>
    <t>MT-40324</t>
  </si>
  <si>
    <t>MT-40325</t>
  </si>
  <si>
    <t>MT-40326</t>
  </si>
  <si>
    <t>MT-40327</t>
  </si>
  <si>
    <t>MT-40328</t>
  </si>
  <si>
    <t>MT-40329</t>
  </si>
  <si>
    <t>MT-40330</t>
  </si>
  <si>
    <t>MT-40331</t>
  </si>
  <si>
    <t>MT-40332</t>
  </si>
  <si>
    <t>MT-40333</t>
  </si>
  <si>
    <t>MT-40335</t>
  </si>
  <si>
    <t>MT-40338</t>
  </si>
  <si>
    <t>MT-40339</t>
  </si>
  <si>
    <t>MT-40341</t>
  </si>
  <si>
    <t>MT-40342</t>
  </si>
  <si>
    <t>MT-40345</t>
  </si>
  <si>
    <t>MT-40346</t>
  </si>
  <si>
    <t>MT-40347</t>
  </si>
  <si>
    <t>MT-40348</t>
  </si>
  <si>
    <t>MT-40349</t>
  </si>
  <si>
    <t>MT-40350</t>
  </si>
  <si>
    <t>MT-40351</t>
  </si>
  <si>
    <t>MT-40352</t>
  </si>
  <si>
    <t>MT-40354</t>
  </si>
  <si>
    <t>MT-40355</t>
  </si>
  <si>
    <t>MT-40357</t>
  </si>
  <si>
    <t>MT-40358</t>
  </si>
  <si>
    <t>MT-40360</t>
  </si>
  <si>
    <t>MT-40361</t>
  </si>
  <si>
    <t>MT-40362</t>
  </si>
  <si>
    <t>MT-40363</t>
  </si>
  <si>
    <t>MT-40364</t>
  </si>
  <si>
    <t>MT-40367</t>
  </si>
  <si>
    <t>MT-40369</t>
  </si>
  <si>
    <t>MT-40370</t>
  </si>
  <si>
    <t>MT-40373</t>
  </si>
  <si>
    <t>MT-40375</t>
  </si>
  <si>
    <t>MT-40376</t>
  </si>
  <si>
    <t>MT-40377</t>
  </si>
  <si>
    <t>MT-40378</t>
  </si>
  <si>
    <t>MT-40379</t>
  </si>
  <si>
    <t>MT-40382</t>
  </si>
  <si>
    <t>MT-40383</t>
  </si>
  <si>
    <t>MT-40384</t>
  </si>
  <si>
    <t>MT-40385</t>
  </si>
  <si>
    <t>MT-40386</t>
  </si>
  <si>
    <t>MT-40387</t>
  </si>
  <si>
    <t>MT-40388</t>
  </si>
  <si>
    <t>MT-40390</t>
  </si>
  <si>
    <t>MT-40391</t>
  </si>
  <si>
    <t>MT-40392</t>
  </si>
  <si>
    <t>MT-40393</t>
  </si>
  <si>
    <t>MT-40395</t>
  </si>
  <si>
    <t>MT-40396</t>
  </si>
  <si>
    <t>MT-40398</t>
  </si>
  <si>
    <t>MT-40399</t>
  </si>
  <si>
    <t>MT-40403</t>
  </si>
  <si>
    <t>MT-40404</t>
  </si>
  <si>
    <t>MT-40405</t>
  </si>
  <si>
    <t>MT-40407</t>
  </si>
  <si>
    <t>MT-40408</t>
  </si>
  <si>
    <t>MT-40409</t>
  </si>
  <si>
    <t>MT-40410</t>
  </si>
  <si>
    <t>MT-40412</t>
  </si>
  <si>
    <t>MT-40413</t>
  </si>
  <si>
    <t>MT-40414</t>
  </si>
  <si>
    <t>MT-40415</t>
  </si>
  <si>
    <t>MT-40417</t>
  </si>
  <si>
    <t>MT-40418</t>
  </si>
  <si>
    <t>MT-40420</t>
  </si>
  <si>
    <t>MT-40421</t>
  </si>
  <si>
    <t>MT-40422</t>
  </si>
  <si>
    <t>MT-40423</t>
  </si>
  <si>
    <t>MT-40424</t>
  </si>
  <si>
    <t>MT-40426</t>
  </si>
  <si>
    <t>MT-40427</t>
  </si>
  <si>
    <t>MT-40428</t>
  </si>
  <si>
    <t>MT-40429</t>
  </si>
  <si>
    <t>MT-40430</t>
  </si>
  <si>
    <t>MT-40432</t>
  </si>
  <si>
    <t>MT-40434</t>
  </si>
  <si>
    <t>MT-40435</t>
  </si>
  <si>
    <t>MT-40436</t>
  </si>
  <si>
    <t>MT-40438</t>
  </si>
  <si>
    <t>MT-40440</t>
  </si>
  <si>
    <t>MT-40444</t>
  </si>
  <si>
    <t>MT-40446</t>
  </si>
  <si>
    <t>MT-40447</t>
  </si>
  <si>
    <t>MT-40448</t>
  </si>
  <si>
    <t>MT-40451</t>
  </si>
  <si>
    <t>MT-40453</t>
  </si>
  <si>
    <t>MT-40455</t>
  </si>
  <si>
    <t>MT-40456</t>
  </si>
  <si>
    <t>MT-40457</t>
  </si>
  <si>
    <t>MT-40458</t>
  </si>
  <si>
    <t>MT-40460</t>
  </si>
  <si>
    <t>MT-40461</t>
  </si>
  <si>
    <t>MT-40462</t>
  </si>
  <si>
    <t>MT-40464</t>
  </si>
  <si>
    <t>MT-40465</t>
  </si>
  <si>
    <t>MT-40466</t>
  </si>
  <si>
    <t>MT-40467</t>
  </si>
  <si>
    <t>MT-40468</t>
  </si>
  <si>
    <t>MT-40469</t>
  </si>
  <si>
    <t>MT-40470</t>
  </si>
  <si>
    <t>MT-40471</t>
  </si>
  <si>
    <t>MT-40473</t>
  </si>
  <si>
    <t>MT-40474</t>
  </si>
  <si>
    <t>MT-40476</t>
  </si>
  <si>
    <t>MT-40477</t>
  </si>
  <si>
    <t>MT-40478</t>
  </si>
  <si>
    <t>MT-40479</t>
  </si>
  <si>
    <t>MT-40481</t>
  </si>
  <si>
    <t>MT-40482</t>
  </si>
  <si>
    <t>MT-40483</t>
  </si>
  <si>
    <t>MT-40484</t>
  </si>
  <si>
    <t>MT-40485</t>
  </si>
  <si>
    <t>MT-40486</t>
  </si>
  <si>
    <t>MT-40487</t>
  </si>
  <si>
    <t>MT-40490</t>
  </si>
  <si>
    <t>MT-40491</t>
  </si>
  <si>
    <t>MT-40493</t>
  </si>
  <si>
    <t>MT-40494</t>
  </si>
  <si>
    <t>MT-40497</t>
  </si>
  <si>
    <t>MT-40499</t>
  </si>
  <si>
    <t>MT-40500</t>
  </si>
  <si>
    <t>MT-40501</t>
  </si>
  <si>
    <t>MT-40502</t>
  </si>
  <si>
    <t>MT-40503</t>
  </si>
  <si>
    <t>MT-40504</t>
  </si>
  <si>
    <t>MT-40505</t>
  </si>
  <si>
    <t>MT-40506</t>
  </si>
  <si>
    <t>MT-40507</t>
  </si>
  <si>
    <t>MT-40508</t>
  </si>
  <si>
    <t>MT-40509</t>
  </si>
  <si>
    <t>MT-40510</t>
  </si>
  <si>
    <t>MT-40512</t>
  </si>
  <si>
    <t>MT-40514</t>
  </si>
  <si>
    <t>MT-40515</t>
  </si>
  <si>
    <t>MT-40516</t>
  </si>
  <si>
    <t>MT-40517</t>
  </si>
  <si>
    <t>MT-40518</t>
  </si>
  <si>
    <t>MT-40519</t>
  </si>
  <si>
    <t>MT-40520</t>
  </si>
  <si>
    <t>MT-40521</t>
  </si>
  <si>
    <t>MT-40522</t>
  </si>
  <si>
    <t>MT-40525</t>
  </si>
  <si>
    <t>MT-40526</t>
  </si>
  <si>
    <t>MT-40528</t>
  </si>
  <si>
    <t>MT-40529</t>
  </si>
  <si>
    <t>MT-40530</t>
  </si>
  <si>
    <t>MT-40531</t>
  </si>
  <si>
    <t>MT-40532</t>
  </si>
  <si>
    <t>MT-40533</t>
  </si>
  <si>
    <t>MT-40536</t>
  </si>
  <si>
    <t>MT-40537</t>
  </si>
  <si>
    <t>MT-40538</t>
  </si>
  <si>
    <t>MT-40539</t>
  </si>
  <si>
    <t>MT-40540</t>
  </si>
  <si>
    <t>MT-40541</t>
  </si>
  <si>
    <t>MT-40542</t>
  </si>
  <si>
    <t>MT-40544</t>
  </si>
  <si>
    <t>MT-40545</t>
  </si>
  <si>
    <t>MT-40546</t>
  </si>
  <si>
    <t>MT-40547</t>
  </si>
  <si>
    <t>MT-40548</t>
  </si>
  <si>
    <t>MT-40549</t>
  </si>
  <si>
    <t>MT-40550</t>
  </si>
  <si>
    <t>MT-40552</t>
  </si>
  <si>
    <t>MT-40553</t>
  </si>
  <si>
    <t>MT-40554</t>
  </si>
  <si>
    <t>MT-40556</t>
  </si>
  <si>
    <t>MT-40557</t>
  </si>
  <si>
    <t>MT-40558</t>
  </si>
  <si>
    <t>MT-40559</t>
  </si>
  <si>
    <t>MT-40560</t>
  </si>
  <si>
    <t>MT-40563</t>
  </si>
  <si>
    <t>MT-40564</t>
  </si>
  <si>
    <t>MT-40566</t>
  </si>
  <si>
    <t>MT-40567</t>
  </si>
  <si>
    <t>MT-40568</t>
  </si>
  <si>
    <t>MT-40570</t>
  </si>
  <si>
    <t>MT-40572</t>
  </si>
  <si>
    <t>MT-40573</t>
  </si>
  <si>
    <t>MT-40574</t>
  </si>
  <si>
    <t>MT-40576</t>
  </si>
  <si>
    <t>MT-40577</t>
  </si>
  <si>
    <t>MT-40578</t>
  </si>
  <si>
    <t>MT-40582</t>
  </si>
  <si>
    <t>MT-40583</t>
  </si>
  <si>
    <t>MT-40586</t>
  </si>
  <si>
    <t>MT-40587</t>
  </si>
  <si>
    <t>MT-40588</t>
  </si>
  <si>
    <t>MT-40589</t>
  </si>
  <si>
    <t>MT-40590</t>
  </si>
  <si>
    <t>MT-40591</t>
  </si>
  <si>
    <t>MT-40592</t>
  </si>
  <si>
    <t>MT-40595</t>
  </si>
  <si>
    <t>MT-40600</t>
  </si>
  <si>
    <t>MT-40601</t>
  </si>
  <si>
    <t>MT-40602</t>
  </si>
  <si>
    <t>MT-40603</t>
  </si>
  <si>
    <t>MT-40604</t>
  </si>
  <si>
    <t>MT-40607</t>
  </si>
  <si>
    <t>MT-40608</t>
  </si>
  <si>
    <t>MT-40610</t>
  </si>
  <si>
    <t>MT-40612</t>
  </si>
  <si>
    <t>MT-40614</t>
  </si>
  <si>
    <t>MT-40615</t>
  </si>
  <si>
    <t>MT-40616</t>
  </si>
  <si>
    <t>MT-40620</t>
  </si>
  <si>
    <t>MT-40621</t>
  </si>
  <si>
    <t>MT-40622</t>
  </si>
  <si>
    <t>MT-40623</t>
  </si>
  <si>
    <t>MT-40624</t>
  </si>
  <si>
    <t>MT-40625</t>
  </si>
  <si>
    <t>MT-40627</t>
  </si>
  <si>
    <t>MT-40629</t>
  </si>
  <si>
    <t>MT-40631</t>
  </si>
  <si>
    <t>MT-40632</t>
  </si>
  <si>
    <t>MT-40633</t>
  </si>
  <si>
    <t>MT-40634</t>
  </si>
  <si>
    <t>MT-40635</t>
  </si>
  <si>
    <t>MT-40636</t>
  </si>
  <si>
    <t>MT-40637</t>
  </si>
  <si>
    <t>MT-40638</t>
  </si>
  <si>
    <t>MT-40639</t>
  </si>
  <si>
    <t>MT-40641</t>
  </si>
  <si>
    <t>MT-40642</t>
  </si>
  <si>
    <t>MT-40643</t>
  </si>
  <si>
    <t>MT-40644</t>
  </si>
  <si>
    <t>MT-40645</t>
  </si>
  <si>
    <t>MT-40646</t>
  </si>
  <si>
    <t>MT-40648</t>
  </si>
  <si>
    <t>MT-40649</t>
  </si>
  <si>
    <t>MT-40650</t>
  </si>
  <si>
    <t>MT-40651</t>
  </si>
  <si>
    <t>MT-40652</t>
  </si>
  <si>
    <t>MT-40653</t>
  </si>
  <si>
    <t>MT-40655</t>
  </si>
  <si>
    <t>MT-40659</t>
  </si>
  <si>
    <t>MT-40660</t>
  </si>
  <si>
    <t>MT-40662</t>
  </si>
  <si>
    <t>MT-40666</t>
  </si>
  <si>
    <t>MT-40667</t>
  </si>
  <si>
    <t>MT-40668</t>
  </si>
  <si>
    <t>MT-40669</t>
  </si>
  <si>
    <t>MT-40670</t>
  </si>
  <si>
    <t>MT-40671</t>
  </si>
  <si>
    <t>MT-40674</t>
  </si>
  <si>
    <t>MT-40675</t>
  </si>
  <si>
    <t>MT-40676</t>
  </si>
  <si>
    <t>MT-40679</t>
  </si>
  <si>
    <t>MT-40680</t>
  </si>
  <si>
    <t>MT-40681</t>
  </si>
  <si>
    <t>MT-40682</t>
  </si>
  <si>
    <t>MT-40684</t>
  </si>
  <si>
    <t>MT-40685</t>
  </si>
  <si>
    <t>MT-40686</t>
  </si>
  <si>
    <t>MT-40687</t>
  </si>
  <si>
    <t>MT-40691</t>
  </si>
  <si>
    <t>MT-40695</t>
  </si>
  <si>
    <t>MT-40697</t>
  </si>
  <si>
    <t>MT-40700</t>
  </si>
  <si>
    <t>MT-40701</t>
  </si>
  <si>
    <t>MT-40702</t>
  </si>
  <si>
    <t>MT-40703</t>
  </si>
  <si>
    <t>MT-40704</t>
  </si>
  <si>
    <t>MT-40705</t>
  </si>
  <si>
    <t>MT-40706</t>
  </si>
  <si>
    <t>MT-40708</t>
  </si>
  <si>
    <t>MT-40709</t>
  </si>
  <si>
    <t>MT-40711</t>
  </si>
  <si>
    <t>MT-40712</t>
  </si>
  <si>
    <t>MT-40713</t>
  </si>
  <si>
    <t>MT-40714</t>
  </si>
  <si>
    <t>MT-40715</t>
  </si>
  <si>
    <t>MT-40716</t>
  </si>
  <si>
    <t>MT-40718</t>
  </si>
  <si>
    <t>MT-40720</t>
  </si>
  <si>
    <t>MT-40721</t>
  </si>
  <si>
    <t>MT-40722</t>
  </si>
  <si>
    <t>MT-40726</t>
  </si>
  <si>
    <t>MT-40728</t>
  </si>
  <si>
    <t>MT-40729</t>
  </si>
  <si>
    <t>MT-40730</t>
  </si>
  <si>
    <t>MT-40732</t>
  </si>
  <si>
    <t>MT-40733</t>
  </si>
  <si>
    <t>MT-40734</t>
  </si>
  <si>
    <t>MT-40735</t>
  </si>
  <si>
    <t>MT-40736</t>
  </si>
  <si>
    <t>MT-40737</t>
  </si>
  <si>
    <t>MT-40738</t>
  </si>
  <si>
    <t>MT-40739</t>
  </si>
  <si>
    <t>MT-40740</t>
  </si>
  <si>
    <t>MT-40742</t>
  </si>
  <si>
    <t>MT-40743</t>
  </si>
  <si>
    <t>MT-40744</t>
  </si>
  <si>
    <t>MT-40745</t>
  </si>
  <si>
    <t>MT-40746</t>
  </si>
  <si>
    <t>MT-40747</t>
  </si>
  <si>
    <t>MT-40748</t>
  </si>
  <si>
    <t>MT-40750</t>
  </si>
  <si>
    <t>MT-40751</t>
  </si>
  <si>
    <t>MT-40752</t>
  </si>
  <si>
    <t>MT-40754</t>
  </si>
  <si>
    <t>MT-40755</t>
  </si>
  <si>
    <t>MT-40757</t>
  </si>
  <si>
    <t>MT-40758</t>
  </si>
  <si>
    <t>MT-40760</t>
  </si>
  <si>
    <t>MT-40761</t>
  </si>
  <si>
    <t>MT-40762</t>
  </si>
  <si>
    <t>MT-40765</t>
  </si>
  <si>
    <t>MT-40766</t>
  </si>
  <si>
    <t>MT-40767</t>
  </si>
  <si>
    <t>MT-40768</t>
  </si>
  <si>
    <t>MT-40769</t>
  </si>
  <si>
    <t>MT-40771</t>
  </si>
  <si>
    <t>MT-40772</t>
  </si>
  <si>
    <t>MT-40773</t>
  </si>
  <si>
    <t>MT-40774</t>
  </si>
  <si>
    <t>MT-40775</t>
  </si>
  <si>
    <t>MT-40776</t>
  </si>
  <si>
    <t>MT-40777</t>
  </si>
  <si>
    <t>MT-40778</t>
  </si>
  <si>
    <t>MT-40779</t>
  </si>
  <si>
    <t>MT-40780</t>
  </si>
  <si>
    <t>MT-40781</t>
  </si>
  <si>
    <t>MT-40782</t>
  </si>
  <si>
    <t>MT-40784</t>
  </si>
  <si>
    <t>MT-40786</t>
  </si>
  <si>
    <t>MT-40789</t>
  </si>
  <si>
    <t>MT-40790</t>
  </si>
  <si>
    <t>MT-40791</t>
  </si>
  <si>
    <t>MT-40792</t>
  </si>
  <si>
    <t>MT-40793</t>
  </si>
  <si>
    <t>MT-40796</t>
  </si>
  <si>
    <t>MT-40797</t>
  </si>
  <si>
    <t>MT-40798</t>
  </si>
  <si>
    <t>MT-40799</t>
  </si>
  <si>
    <t>Capacity_m3</t>
  </si>
  <si>
    <t>DamID</t>
  </si>
  <si>
    <t>DamName</t>
  </si>
  <si>
    <t>EnergyCost_RM</t>
  </si>
  <si>
    <t>WTPID</t>
  </si>
  <si>
    <t>WTPName</t>
  </si>
  <si>
    <t>DesignCapacity_m3_day</t>
  </si>
  <si>
    <t>ZoneID</t>
  </si>
  <si>
    <t>ZoneName</t>
  </si>
  <si>
    <t>Area_km2</t>
  </si>
  <si>
    <t>Production_m3</t>
  </si>
  <si>
    <t>Billed_m3</t>
  </si>
  <si>
    <t>AuthorizedUnbilled_m3</t>
  </si>
  <si>
    <t>ApparentLoss_m3</t>
  </si>
  <si>
    <t>RealLoss_m3</t>
  </si>
  <si>
    <t>NRW_pct</t>
  </si>
  <si>
    <t>LeakID</t>
  </si>
  <si>
    <t>LeakDate</t>
  </si>
  <si>
    <t>RepairDate</t>
  </si>
  <si>
    <t>LeakVolume_m3</t>
  </si>
  <si>
    <t>RepairCost_RM</t>
  </si>
  <si>
    <t>AssetAge_years</t>
  </si>
  <si>
    <t>DetectionMethod</t>
  </si>
  <si>
    <t>MeterID</t>
  </si>
  <si>
    <t>MeterAge_years</t>
  </si>
  <si>
    <t>Accuracy_pct</t>
  </si>
  <si>
    <t>ReadingType</t>
  </si>
  <si>
    <t>EstimatedLoss_RM</t>
  </si>
  <si>
    <t>CaseID</t>
  </si>
  <si>
    <t>DateDetected</t>
  </si>
  <si>
    <t>ReportedBy</t>
  </si>
  <si>
    <t>MaintenanceID</t>
  </si>
  <si>
    <t>MaintenanceDate</t>
  </si>
  <si>
    <t>MaintenanceType</t>
  </si>
  <si>
    <t>Duration_hr</t>
  </si>
  <si>
    <t>Cost_RM</t>
  </si>
  <si>
    <t>PerformedBy</t>
  </si>
  <si>
    <t>Duration_days</t>
  </si>
  <si>
    <t>m3</t>
  </si>
  <si>
    <t>%</t>
  </si>
  <si>
    <t>Multiplier</t>
  </si>
  <si>
    <t>RM</t>
  </si>
  <si>
    <t>Water Production</t>
  </si>
  <si>
    <t>NRW</t>
  </si>
  <si>
    <t>Authorized Unbilled</t>
  </si>
  <si>
    <t>Apparent Loss (Meter, Illegal Connection)</t>
  </si>
  <si>
    <t>Real Loss (Leak)</t>
  </si>
  <si>
    <t>Water Loss (Supposedly)</t>
  </si>
  <si>
    <t>TOTAL</t>
  </si>
  <si>
    <t>TOTAL (Meter + Illegal Connection + Leak)</t>
  </si>
  <si>
    <t>Water Loss (We Have)</t>
  </si>
  <si>
    <t>Illegal Connections</t>
  </si>
  <si>
    <t>Meter</t>
  </si>
  <si>
    <t>Leak</t>
  </si>
  <si>
    <t>Tariff</t>
  </si>
  <si>
    <t>New Value</t>
  </si>
  <si>
    <t>Deleted Columns "Leaks" &amp; "Illegal Connections" in ZoneWaterBalance</t>
  </si>
  <si>
    <t>Deleted Column "RevenueLoss_RM" in ZoneWaterBalance</t>
  </si>
  <si>
    <t>Get new Revenue Loss by multiplying Tariff (0.80)</t>
  </si>
  <si>
    <t>Total Leak Volume is used from "RealLoss_m3" in ZoneWaterBalance</t>
  </si>
  <si>
    <t>Gained "Meter" and "Illegal Connections" volume (m3) by "EstimatedLoss_RM"/0.80</t>
  </si>
  <si>
    <t>Total</t>
  </si>
  <si>
    <t>Total - Leak (1)</t>
  </si>
  <si>
    <t>(1) - Meter (2)</t>
  </si>
  <si>
    <t>IC + Authorized</t>
  </si>
  <si>
    <t>Baling</t>
  </si>
  <si>
    <t>Bandar Baharu</t>
  </si>
  <si>
    <t>Kota Setar</t>
  </si>
  <si>
    <t>Kuala Muda</t>
  </si>
  <si>
    <t>Kubang Pasu</t>
  </si>
  <si>
    <t>Padang Terap</t>
  </si>
  <si>
    <t>Pendang</t>
  </si>
  <si>
    <t>Teroi</t>
  </si>
  <si>
    <t>Singkir</t>
  </si>
  <si>
    <t>Sok</t>
  </si>
  <si>
    <t>EstimatedLoss_m3</t>
  </si>
  <si>
    <t>MeterAgeGroup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</si>
</sst>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yyyy\-mm\-dd"/>
    <numFmt numFmtId="165" formatCode="_-* #,##0_-;\-* #,##0_-;_-* &quot;-&quot;??_-;_-@_-"/>
    <numFmt numFmtId="166" formatCode="_-* #,##0.0000_-;\-* #,##0.0000_-;_-* &quot;-&quot;??_-;_-@_-"/>
    <numFmt numFmtId="167" formatCode="_-* #,##0.0000_-;\-* #,##0.0000_-;_-* &quot;-&quot;????_-;_-@_-"/>
    <numFmt numFmtId="168" formatCode="0.0000000000000"/>
    <numFmt numFmtId="169" formatCode="0.000000000000000000"/>
    <numFmt numFmtId="170" formatCode="0.0000000000000000"/>
    <numFmt numFmtId="171" formatCode="0.00000000000000"/>
    <numFmt numFmtId="172" formatCode="_-* #,##0.000000_-;\-* #,##0.000000_-;_-* &quot;-&quot;??_-;_-@_-"/>
    <numFmt numFmtId="173" formatCode="_-* #,##0.0000000_-;\-* #,##0.0000000_-;_-* &quot;-&quot;??_-;_-@_-"/>
    <numFmt numFmtId="174" formatCode="_-* #,##0.0000000_-;\-* #,##0.0000000_-;_-* &quot;-&quot;???????_-;_-@_-"/>
    <numFmt numFmtId="175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0" borderId="7" xfId="0" applyBorder="1"/>
    <xf numFmtId="0" fontId="0" fillId="4" borderId="2" xfId="0" applyFill="1" applyBorder="1"/>
    <xf numFmtId="0" fontId="0" fillId="4" borderId="8" xfId="0" applyFill="1" applyBorder="1"/>
    <xf numFmtId="0" fontId="0" fillId="2" borderId="8" xfId="0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5" borderId="11" xfId="0" applyFill="1" applyBorder="1"/>
    <xf numFmtId="0" fontId="0" fillId="5" borderId="10" xfId="0" applyFill="1" applyBorder="1"/>
    <xf numFmtId="0" fontId="0" fillId="0" borderId="0" xfId="0" applyAlignment="1">
      <alignment horizontal="left"/>
    </xf>
    <xf numFmtId="165" fontId="0" fillId="0" borderId="0" xfId="1" applyNumberFormat="1" applyFont="1"/>
    <xf numFmtId="2" fontId="0" fillId="0" borderId="7" xfId="0" applyNumberFormat="1" applyBorder="1"/>
    <xf numFmtId="0" fontId="0" fillId="5" borderId="7" xfId="0" applyFill="1" applyBorder="1"/>
    <xf numFmtId="43" fontId="0" fillId="0" borderId="13" xfId="0" applyNumberFormat="1" applyBorder="1"/>
    <xf numFmtId="2" fontId="0" fillId="0" borderId="0" xfId="0" applyNumberFormat="1"/>
    <xf numFmtId="0" fontId="0" fillId="5" borderId="0" xfId="0" applyFill="1"/>
    <xf numFmtId="43" fontId="0" fillId="0" borderId="15" xfId="0" applyNumberFormat="1" applyBorder="1"/>
    <xf numFmtId="0" fontId="0" fillId="0" borderId="16" xfId="0" applyBorder="1"/>
    <xf numFmtId="2" fontId="0" fillId="0" borderId="16" xfId="0" applyNumberFormat="1" applyBorder="1"/>
    <xf numFmtId="0" fontId="0" fillId="5" borderId="16" xfId="0" applyFill="1" applyBorder="1"/>
    <xf numFmtId="0" fontId="0" fillId="0" borderId="7" xfId="0" applyBorder="1" applyAlignment="1">
      <alignment horizontal="right"/>
    </xf>
    <xf numFmtId="0" fontId="0" fillId="0" borderId="16" xfId="0" applyBorder="1" applyAlignment="1">
      <alignment horizontal="right"/>
    </xf>
    <xf numFmtId="167" fontId="0" fillId="0" borderId="17" xfId="0" applyNumberFormat="1" applyBorder="1"/>
    <xf numFmtId="166" fontId="0" fillId="0" borderId="7" xfId="1" applyNumberFormat="1" applyFont="1" applyBorder="1"/>
    <xf numFmtId="166" fontId="0" fillId="0" borderId="0" xfId="1" applyNumberFormat="1" applyFont="1" applyBorder="1"/>
    <xf numFmtId="168" fontId="0" fillId="0" borderId="0" xfId="0" applyNumberFormat="1"/>
    <xf numFmtId="0" fontId="0" fillId="5" borderId="15" xfId="0" applyFill="1" applyBorder="1"/>
    <xf numFmtId="0" fontId="0" fillId="0" borderId="17" xfId="0" applyBorder="1"/>
    <xf numFmtId="2" fontId="0" fillId="0" borderId="10" xfId="0" applyNumberFormat="1" applyBorder="1"/>
    <xf numFmtId="168" fontId="0" fillId="0" borderId="7" xfId="0" applyNumberFormat="1" applyBorder="1"/>
    <xf numFmtId="168" fontId="0" fillId="0" borderId="16" xfId="0" applyNumberFormat="1" applyBorder="1"/>
    <xf numFmtId="170" fontId="0" fillId="0" borderId="0" xfId="0" applyNumberFormat="1"/>
    <xf numFmtId="171" fontId="0" fillId="0" borderId="0" xfId="0" applyNumberFormat="1" applyAlignment="1">
      <alignment vertical="center"/>
    </xf>
    <xf numFmtId="171" fontId="0" fillId="0" borderId="7" xfId="0" applyNumberFormat="1" applyBorder="1" applyAlignment="1">
      <alignment vertical="center"/>
    </xf>
    <xf numFmtId="171" fontId="0" fillId="0" borderId="0" xfId="0" applyNumberFormat="1"/>
    <xf numFmtId="43" fontId="0" fillId="6" borderId="13" xfId="0" applyNumberFormat="1" applyFill="1" applyBorder="1"/>
    <xf numFmtId="43" fontId="0" fillId="6" borderId="17" xfId="0" applyNumberFormat="1" applyFill="1" applyBorder="1"/>
    <xf numFmtId="174" fontId="0" fillId="0" borderId="0" xfId="0" applyNumberFormat="1"/>
    <xf numFmtId="43" fontId="0" fillId="0" borderId="0" xfId="0" applyNumberFormat="1"/>
    <xf numFmtId="172" fontId="0" fillId="0" borderId="0" xfId="0" applyNumberFormat="1"/>
    <xf numFmtId="175" fontId="0" fillId="0" borderId="0" xfId="0" applyNumberFormat="1"/>
    <xf numFmtId="43" fontId="0" fillId="0" borderId="0" xfId="2" applyNumberFormat="1" applyFont="1"/>
    <xf numFmtId="169" fontId="0" fillId="0" borderId="0" xfId="0" applyNumberFormat="1" applyAlignment="1">
      <alignment horizontal="right"/>
    </xf>
    <xf numFmtId="172" fontId="0" fillId="0" borderId="0" xfId="1" applyNumberFormat="1" applyFont="1"/>
    <xf numFmtId="43" fontId="0" fillId="6" borderId="13" xfId="1" applyFont="1" applyFill="1" applyBorder="1"/>
    <xf numFmtId="0" fontId="2" fillId="7" borderId="6" xfId="0" applyFont="1" applyFill="1" applyBorder="1" applyAlignment="1">
      <alignment horizontal="center"/>
    </xf>
    <xf numFmtId="171" fontId="0" fillId="0" borderId="7" xfId="0" applyNumberFormat="1" applyBorder="1"/>
    <xf numFmtId="2" fontId="2" fillId="0" borderId="1" xfId="0" applyNumberFormat="1" applyFont="1" applyBorder="1" applyAlignment="1">
      <alignment horizontal="center" vertical="top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5" fontId="0" fillId="6" borderId="7" xfId="1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6" borderId="16" xfId="1" applyNumberFormat="1" applyFont="1" applyFill="1" applyBorder="1" applyAlignment="1">
      <alignment horizontal="center"/>
    </xf>
    <xf numFmtId="165" fontId="0" fillId="6" borderId="7" xfId="0" applyNumberFormat="1" applyFill="1" applyBorder="1" applyAlignment="1">
      <alignment horizontal="right"/>
    </xf>
    <xf numFmtId="166" fontId="0" fillId="0" borderId="16" xfId="0" applyNumberFormat="1" applyBorder="1" applyAlignment="1">
      <alignment horizontal="center"/>
    </xf>
    <xf numFmtId="166" fontId="0" fillId="0" borderId="7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8" fontId="0" fillId="0" borderId="7" xfId="0" applyNumberFormat="1" applyBorder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66" fontId="0" fillId="0" borderId="0" xfId="1" applyNumberFormat="1" applyFont="1" applyBorder="1" applyAlignment="1">
      <alignment horizontal="center"/>
    </xf>
    <xf numFmtId="173" fontId="0" fillId="6" borderId="7" xfId="0" applyNumberFormat="1" applyFill="1" applyBorder="1" applyAlignment="1">
      <alignment horizontal="right"/>
    </xf>
    <xf numFmtId="173" fontId="0" fillId="6" borderId="16" xfId="0" applyNumberForma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40"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9A74F9-0250-4F53-9918-9E9EC8BD33A9}" name="ZoneWaterBalance" displayName="ZoneWaterBalance" ref="A1:I361" totalsRowShown="0" headerRowDxfId="39" headerRowBorderDxfId="38" tableBorderDxfId="37">
  <autoFilter ref="A1:I361" xr:uid="{29194296-F6AE-4F28-AD54-3A3B1B6806FE}"/>
  <sortState xmlns:xlrd2="http://schemas.microsoft.com/office/spreadsheetml/2017/richdata2" ref="A2:I361">
    <sortCondition ref="B1:B361"/>
  </sortState>
  <tableColumns count="9">
    <tableColumn id="1" xr3:uid="{0D604248-35DA-4F5C-973F-88009C18A823}" name="ZoneID"/>
    <tableColumn id="4" xr3:uid="{F4E25C9F-A6F6-46CE-84B3-CCCB50D5F10E}" name="Month" dataDxfId="36"/>
    <tableColumn id="5" xr3:uid="{62BB3D28-51C8-42B2-80FC-20A21C329929}" name="Production_m3"/>
    <tableColumn id="6" xr3:uid="{4F0F275A-0954-4F25-8752-1C63ECEF365B}" name="Billed_m3"/>
    <tableColumn id="7" xr3:uid="{FEAC4004-98C8-4489-88D9-BBB4E7A04777}" name="AuthorizedUnbilled_m3"/>
    <tableColumn id="8" xr3:uid="{955ECD5F-F21B-47D9-ACDD-F6FA27A156F5}" name="ApparentLoss_m3"/>
    <tableColumn id="9" xr3:uid="{B9853F5D-58DB-47ED-8C00-CB16097E2971}" name="RealLoss_m3"/>
    <tableColumn id="10" xr3:uid="{5D52FA82-86FA-4627-9055-F2043EF259DE}" name="NRW_pct"/>
    <tableColumn id="12" xr3:uid="{6A3DC308-968F-4C1A-A19E-F2FE8477EDA0}" name="EnergyCost_R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2E496-BA9D-4664-97C4-17A40B8FE291}" name="Dam" displayName="Dam" ref="A1:D7" totalsRowShown="0" headerRowDxfId="35" dataDxfId="33" headerRowBorderDxfId="34" tableBorderDxfId="32" totalsRowBorderDxfId="31">
  <autoFilter ref="A1:D7" xr:uid="{8E62E496-BA9D-4664-97C4-17A40B8FE291}"/>
  <tableColumns count="4">
    <tableColumn id="1" xr3:uid="{46DD44B6-3E50-412E-94D8-EDE8D5EA6E2E}" name="DamID" dataDxfId="30"/>
    <tableColumn id="2" xr3:uid="{09D69101-7DCC-4F43-AE94-8496A784A665}" name="DamName" dataDxfId="29"/>
    <tableColumn id="3" xr3:uid="{2CF5991C-041C-4DDD-9723-0623F1B17D8F}" name="Location" dataDxfId="28"/>
    <tableColumn id="4" xr3:uid="{643EDA8C-6743-4AA2-83FC-58CE4D143FBB}" name="Capacity_m3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74C72-6960-48C4-B3EF-243EA77016B5}" name="WTP" displayName="WTP" ref="A1:E9" totalsRowShown="0" headerRowDxfId="26" headerRowBorderDxfId="25">
  <autoFilter ref="A1:E9" xr:uid="{08F74C72-6960-48C4-B3EF-243EA77016B5}"/>
  <tableColumns count="5">
    <tableColumn id="1" xr3:uid="{3642F792-A1D1-41D2-B24E-522D0BFC5FBA}" name="WTPID"/>
    <tableColumn id="2" xr3:uid="{DFB73052-F1DD-4C9E-8FA0-97BE2799F42E}" name="WTPName"/>
    <tableColumn id="3" xr3:uid="{1C00B8D1-D682-4AF7-B002-853A03F57970}" name="DamID"/>
    <tableColumn id="4" xr3:uid="{11117C2A-ED49-43AE-A9AB-A51BC18A7CF6}" name="Location"/>
    <tableColumn id="5" xr3:uid="{42B1132F-1748-47CC-BD88-1042D5E7758D}" name="DesignCapacity_m3_d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48941-92C9-462A-981D-46DEB614FB85}" name="Zone" displayName="Zone" ref="A1:E16" totalsRowShown="0" headerRowDxfId="24" headerRowBorderDxfId="23">
  <autoFilter ref="A1:E16" xr:uid="{5AF48941-92C9-462A-981D-46DEB614FB85}"/>
  <sortState xmlns:xlrd2="http://schemas.microsoft.com/office/spreadsheetml/2017/richdata2" ref="A2:E16">
    <sortCondition descending="1" ref="D1:D16"/>
  </sortState>
  <tableColumns count="5">
    <tableColumn id="1" xr3:uid="{EBA89EA6-B378-4BF8-96E5-2EA4BEC5BCE8}" name="ZoneID"/>
    <tableColumn id="2" xr3:uid="{E6D6C9A7-F4A4-456E-A226-DE76225EDCF4}" name="ZoneName"/>
    <tableColumn id="3" xr3:uid="{9358F661-9AD8-482E-A040-C9A8B5EB4684}" name="WTPID"/>
    <tableColumn id="4" xr3:uid="{16411DED-2268-4CFC-A833-2FBBA252D307}" name="Connections"/>
    <tableColumn id="5" xr3:uid="{39F0F6FC-ECE3-4D02-BF46-A4082DA4280F}" name="Area_km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86041C-8D1B-4A26-954F-8B846286F97C}" name="Leak" displayName="Leak" ref="A1:K886" totalsRowShown="0" headerRowDxfId="22" headerRowBorderDxfId="21" tableBorderDxfId="20">
  <autoFilter ref="A1:K886" xr:uid="{1E6C39BE-877C-41C9-ACA9-15A8BB7052D0}"/>
  <sortState xmlns:xlrd2="http://schemas.microsoft.com/office/spreadsheetml/2017/richdata2" ref="A2:K886">
    <sortCondition ref="A1:A886"/>
  </sortState>
  <tableColumns count="11">
    <tableColumn id="1" xr3:uid="{2F8202B4-2BA3-4C10-AA3C-DEC1E203105A}" name="LeakID"/>
    <tableColumn id="2" xr3:uid="{8EB22A13-012F-40F5-9C41-CDC08D79CFFE}" name="ZoneID"/>
    <tableColumn id="3" xr3:uid="{88CF43B5-2ABC-40E8-A692-1F4C9A55A455}" name="LeakDate" dataDxfId="19"/>
    <tableColumn id="4" xr3:uid="{6EB470FC-B3F0-43A0-889E-7621C6B6E890}" name="RepairDate" dataDxfId="18"/>
    <tableColumn id="5" xr3:uid="{1A5EFEBB-F020-4084-9AB5-FA682F5B6244}" name="Duration_days"/>
    <tableColumn id="13" xr3:uid="{4E48560E-2CA0-48F1-9AE4-8803F0386A16}" name="LeakVolume_m3" dataDxfId="17"/>
    <tableColumn id="7" xr3:uid="{130D5216-BFA6-4898-AB56-315362E7D0B1}" name="RepairCost_RM"/>
    <tableColumn id="8" xr3:uid="{EA904F7E-6422-43C1-B130-BFF99001C666}" name="Cause"/>
    <tableColumn id="9" xr3:uid="{12FF9F35-0CD4-4F10-AC39-44AAE33A58E9}" name="Material"/>
    <tableColumn id="10" xr3:uid="{AF36DF84-5602-4D66-BFFC-C3671AABD787}" name="AssetAge_years"/>
    <tableColumn id="11" xr3:uid="{F7B930EC-F689-4EBD-BF22-CF607F2BF6BD}" name="DetectionMetho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7F67A8-734D-471C-A3C2-37AD61CA1E6B}" name="Meter" displayName="Meter" ref="A1:H901" totalsRowShown="0" headerRowDxfId="16" headerRowBorderDxfId="15" tableBorderDxfId="14">
  <autoFilter ref="A1:H901" xr:uid="{E709E1AC-BC24-4B5A-8AD2-757B7FB85CED}"/>
  <sortState xmlns:xlrd2="http://schemas.microsoft.com/office/spreadsheetml/2017/richdata2" ref="A2:F901">
    <sortCondition descending="1" ref="D1:D901"/>
  </sortState>
  <tableColumns count="8">
    <tableColumn id="1" xr3:uid="{16C5E0DA-EC31-4B77-90B5-D1422A887929}" name="MeterID"/>
    <tableColumn id="2" xr3:uid="{F826FD5E-9AA6-416F-8366-082C354D2F7F}" name="ZoneID"/>
    <tableColumn id="4" xr3:uid="{B71A76E1-DC39-4DD7-A9DD-516A80FE9B7D}" name="MeterAge_years"/>
    <tableColumn id="5" xr3:uid="{463CAEEC-13DB-421C-A3E0-00523C385B87}" name="Accuracy_pct" dataDxfId="13"/>
    <tableColumn id="6" xr3:uid="{50D252AC-733B-435D-9838-D6F3BE388E9F}" name="ReadingType"/>
    <tableColumn id="10" xr3:uid="{9047CA4F-37F3-4F7C-AA06-7B6EC5B665E8}" name="EstimatedLoss_RM" dataDxfId="12"/>
    <tableColumn id="3" xr3:uid="{E7F5F898-0864-4441-A52E-03A4288A9B45}" name="EstimatedLoss_m3" dataDxfId="11">
      <calculatedColumnFormula>Meter[[#This Row],[EstimatedLoss_RM]]/0.8</calculatedColumnFormula>
    </tableColumn>
    <tableColumn id="7" xr3:uid="{C2177E52-51AC-4B19-9211-425FF51B5E01}" name="MeterAgeGroup" dataDxfId="0">
      <calculatedColumnFormula array="1">_xlfn.IFS(C2&lt;=5, "0–5 years", C2&lt;=10, "6–10 years", C2&lt;=15, "11–15 years", C2&lt;=20, "16–20 years", TRUE, "21–25 years")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2140E7-59C1-4758-8179-15FC5D607D63}" name="IllegalConnections" displayName="IllegalConnections" ref="A1:F309" totalsRowShown="0" headerRowDxfId="10" headerRowBorderDxfId="9" tableBorderDxfId="8">
  <autoFilter ref="A1:F309" xr:uid="{E061BBD8-075A-4037-88B2-AF0CCBA6EB23}"/>
  <sortState xmlns:xlrd2="http://schemas.microsoft.com/office/spreadsheetml/2017/richdata2" ref="A2:F309">
    <sortCondition descending="1" ref="C1:C309"/>
  </sortState>
  <tableColumns count="6">
    <tableColumn id="1" xr3:uid="{631A0805-C18B-4A0E-8089-D8EA013664A0}" name="CaseID"/>
    <tableColumn id="2" xr3:uid="{CC59FA84-33D1-4D67-8C01-62853C7C03B4}" name="ZoneID"/>
    <tableColumn id="3" xr3:uid="{AC39F9D5-C648-46EC-A57C-09C46D77BF9E}" name="DateDetected" dataDxfId="7"/>
    <tableColumn id="8" xr3:uid="{088C6224-21BC-4661-96D1-C6615278E720}" name="EstimatedLoss_RM" dataDxfId="6"/>
    <tableColumn id="9" xr3:uid="{8840DD81-5AD2-4D67-B279-7FA3B735C523}" name="EstimatedLoss_m3" dataDxfId="5">
      <calculatedColumnFormula>IllegalConnections[[#This Row],[EstimatedLoss_RM]]/0.8</calculatedColumnFormula>
    </tableColumn>
    <tableColumn id="7" xr3:uid="{F6D002F4-CD58-47C8-8EE5-616160FBFF8C}" name="ReportedB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601F9A-10D3-47F2-8C22-1EE2760B699E}" name="Maintenance" displayName="Maintenance" ref="A1:G598" totalsRowShown="0" headerRowDxfId="4" headerRowBorderDxfId="3" tableBorderDxfId="2">
  <autoFilter ref="A1:G598" xr:uid="{A2349D49-C4E0-4CE5-A159-58D10AEEDEB1}"/>
  <sortState xmlns:xlrd2="http://schemas.microsoft.com/office/spreadsheetml/2017/richdata2" ref="A2:G598">
    <sortCondition ref="A1:A598"/>
  </sortState>
  <tableColumns count="7">
    <tableColumn id="1" xr3:uid="{936C8AD1-D55D-40E2-A026-12A8BCE791E1}" name="MaintenanceID"/>
    <tableColumn id="2" xr3:uid="{4D8F9E23-BFB3-4024-84EC-EE4059DE5FE3}" name="LeakID"/>
    <tableColumn id="3" xr3:uid="{4D0434CB-BA41-4D31-BC03-8BEEBDD6533A}" name="MaintenanceDate" dataDxfId="1"/>
    <tableColumn id="4" xr3:uid="{082FB377-F5E3-4169-B5D9-74DE70C9561D}" name="MaintenanceType"/>
    <tableColumn id="5" xr3:uid="{7CA792A1-BBC2-4399-A37E-4F9959738452}" name="Duration_hr"/>
    <tableColumn id="6" xr3:uid="{1C044158-586E-4447-8720-D6C3A72B35CF}" name="Cost_RM"/>
    <tableColumn id="7" xr3:uid="{467C40A9-BB23-4C69-9E24-ACB49875779C}" name="Performed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BB20-0EC8-4C32-8426-B42BA42D0D0B}">
  <sheetPr>
    <tabColor theme="9"/>
  </sheetPr>
  <dimension ref="A1:I363"/>
  <sheetViews>
    <sheetView zoomScaleNormal="100" workbookViewId="0">
      <selection activeCell="K17" sqref="K17"/>
    </sheetView>
  </sheetViews>
  <sheetFormatPr defaultRowHeight="14.4" x14ac:dyDescent="0.3"/>
  <cols>
    <col min="1" max="1" width="9" bestFit="1" customWidth="1"/>
    <col min="2" max="2" width="10.44140625" bestFit="1" customWidth="1"/>
    <col min="3" max="3" width="15.88671875" customWidth="1"/>
    <col min="4" max="4" width="11.109375" customWidth="1"/>
    <col min="5" max="5" width="22.6640625" customWidth="1"/>
    <col min="6" max="6" width="18" customWidth="1"/>
    <col min="7" max="7" width="13.6640625" customWidth="1"/>
    <col min="8" max="8" width="10.6640625" customWidth="1"/>
    <col min="9" max="9" width="16.33203125" customWidth="1"/>
  </cols>
  <sheetData>
    <row r="1" spans="1:9" x14ac:dyDescent="0.3">
      <c r="A1" s="1" t="s">
        <v>2863</v>
      </c>
      <c r="B1" s="1" t="s">
        <v>19</v>
      </c>
      <c r="C1" s="1" t="s">
        <v>2866</v>
      </c>
      <c r="D1" s="1" t="s">
        <v>2867</v>
      </c>
      <c r="E1" s="1" t="s">
        <v>2868</v>
      </c>
      <c r="F1" s="1" t="s">
        <v>2869</v>
      </c>
      <c r="G1" s="1" t="s">
        <v>2870</v>
      </c>
      <c r="H1" s="1" t="s">
        <v>2871</v>
      </c>
      <c r="I1" s="1" t="s">
        <v>2859</v>
      </c>
    </row>
    <row r="2" spans="1:9" x14ac:dyDescent="0.3">
      <c r="A2" t="s">
        <v>38</v>
      </c>
      <c r="B2" s="7">
        <v>45292</v>
      </c>
      <c r="C2">
        <v>10521108</v>
      </c>
      <c r="D2">
        <v>8758659</v>
      </c>
      <c r="E2">
        <v>280822</v>
      </c>
      <c r="F2">
        <v>496910</v>
      </c>
      <c r="G2">
        <v>984717</v>
      </c>
      <c r="H2">
        <v>16.75</v>
      </c>
      <c r="I2">
        <v>251727.01</v>
      </c>
    </row>
    <row r="3" spans="1:9" x14ac:dyDescent="0.3">
      <c r="A3" t="s">
        <v>39</v>
      </c>
      <c r="B3" s="7">
        <v>45292</v>
      </c>
      <c r="C3">
        <v>10521108</v>
      </c>
      <c r="D3">
        <v>7722114</v>
      </c>
      <c r="E3">
        <v>83489</v>
      </c>
      <c r="F3">
        <v>595970</v>
      </c>
      <c r="G3">
        <v>2119535</v>
      </c>
      <c r="H3">
        <v>26.6</v>
      </c>
      <c r="I3">
        <v>251727.01</v>
      </c>
    </row>
    <row r="4" spans="1:9" x14ac:dyDescent="0.3">
      <c r="A4" t="s">
        <v>40</v>
      </c>
      <c r="B4" s="7">
        <v>45292</v>
      </c>
      <c r="C4">
        <v>9608643</v>
      </c>
      <c r="D4">
        <v>8610554</v>
      </c>
      <c r="E4">
        <v>198416</v>
      </c>
      <c r="F4">
        <v>356365</v>
      </c>
      <c r="G4">
        <v>443308</v>
      </c>
      <c r="H4">
        <v>10.39</v>
      </c>
      <c r="I4">
        <v>250674.22</v>
      </c>
    </row>
    <row r="5" spans="1:9" x14ac:dyDescent="0.3">
      <c r="A5" t="s">
        <v>41</v>
      </c>
      <c r="B5" s="7">
        <v>45292</v>
      </c>
      <c r="C5">
        <v>5970167</v>
      </c>
      <c r="D5">
        <v>5180106</v>
      </c>
      <c r="E5">
        <v>165638</v>
      </c>
      <c r="F5">
        <v>144959</v>
      </c>
      <c r="G5">
        <v>479464</v>
      </c>
      <c r="H5">
        <v>13.23</v>
      </c>
      <c r="I5">
        <v>100783.46</v>
      </c>
    </row>
    <row r="6" spans="1:9" x14ac:dyDescent="0.3">
      <c r="A6" t="s">
        <v>42</v>
      </c>
      <c r="B6" s="7">
        <v>45292</v>
      </c>
      <c r="C6">
        <v>4924281</v>
      </c>
      <c r="D6">
        <v>3680918</v>
      </c>
      <c r="E6">
        <v>140861</v>
      </c>
      <c r="F6">
        <v>240482</v>
      </c>
      <c r="G6">
        <v>862020</v>
      </c>
      <c r="H6">
        <v>25.25</v>
      </c>
      <c r="I6">
        <v>176125.98</v>
      </c>
    </row>
    <row r="7" spans="1:9" x14ac:dyDescent="0.3">
      <c r="A7" t="s">
        <v>43</v>
      </c>
      <c r="B7" s="7">
        <v>45292</v>
      </c>
      <c r="C7">
        <v>5858941</v>
      </c>
      <c r="D7">
        <v>5205295</v>
      </c>
      <c r="E7">
        <v>95145</v>
      </c>
      <c r="F7">
        <v>217847</v>
      </c>
      <c r="G7">
        <v>340654</v>
      </c>
      <c r="H7">
        <v>11.16</v>
      </c>
      <c r="I7">
        <v>82701.600000000006</v>
      </c>
    </row>
    <row r="8" spans="1:9" x14ac:dyDescent="0.3">
      <c r="A8" t="s">
        <v>44</v>
      </c>
      <c r="B8" s="7">
        <v>45292</v>
      </c>
      <c r="C8">
        <v>2266039</v>
      </c>
      <c r="D8">
        <v>1624386</v>
      </c>
      <c r="E8">
        <v>59118</v>
      </c>
      <c r="F8">
        <v>80915</v>
      </c>
      <c r="G8">
        <v>501620</v>
      </c>
      <c r="H8">
        <v>28.32</v>
      </c>
      <c r="I8">
        <v>51896.11</v>
      </c>
    </row>
    <row r="9" spans="1:9" x14ac:dyDescent="0.3">
      <c r="A9" t="s">
        <v>45</v>
      </c>
      <c r="B9" s="7">
        <v>45292</v>
      </c>
      <c r="C9">
        <v>5970167</v>
      </c>
      <c r="D9">
        <v>4837990</v>
      </c>
      <c r="E9">
        <v>108699</v>
      </c>
      <c r="F9">
        <v>352883</v>
      </c>
      <c r="G9">
        <v>670595</v>
      </c>
      <c r="H9">
        <v>18.96</v>
      </c>
      <c r="I9">
        <v>100783.46</v>
      </c>
    </row>
    <row r="10" spans="1:9" x14ac:dyDescent="0.3">
      <c r="A10" t="s">
        <v>46</v>
      </c>
      <c r="B10" s="7">
        <v>45292</v>
      </c>
      <c r="C10">
        <v>5479319</v>
      </c>
      <c r="D10">
        <v>3596930</v>
      </c>
      <c r="E10">
        <v>101579</v>
      </c>
      <c r="F10">
        <v>248967</v>
      </c>
      <c r="G10">
        <v>1531843</v>
      </c>
      <c r="H10">
        <v>34.35</v>
      </c>
      <c r="I10">
        <v>168865.32</v>
      </c>
    </row>
    <row r="11" spans="1:9" x14ac:dyDescent="0.3">
      <c r="A11" t="s">
        <v>47</v>
      </c>
      <c r="B11" s="7">
        <v>45292</v>
      </c>
      <c r="C11">
        <v>4492202</v>
      </c>
      <c r="D11">
        <v>3785174</v>
      </c>
      <c r="E11">
        <v>76331</v>
      </c>
      <c r="F11">
        <v>230258</v>
      </c>
      <c r="G11">
        <v>400439</v>
      </c>
      <c r="H11">
        <v>15.74</v>
      </c>
      <c r="I11">
        <v>165455.26</v>
      </c>
    </row>
    <row r="12" spans="1:9" x14ac:dyDescent="0.3">
      <c r="A12" t="s">
        <v>48</v>
      </c>
      <c r="B12" s="7">
        <v>45292</v>
      </c>
      <c r="C12">
        <v>10521108</v>
      </c>
      <c r="D12">
        <v>8389810</v>
      </c>
      <c r="E12">
        <v>79284</v>
      </c>
      <c r="F12">
        <v>412212</v>
      </c>
      <c r="G12">
        <v>1639802</v>
      </c>
      <c r="H12">
        <v>20.260000000000002</v>
      </c>
      <c r="I12">
        <v>251727.01</v>
      </c>
    </row>
    <row r="13" spans="1:9" x14ac:dyDescent="0.3">
      <c r="A13" t="s">
        <v>49</v>
      </c>
      <c r="B13" s="7">
        <v>45292</v>
      </c>
      <c r="C13">
        <v>4924281</v>
      </c>
      <c r="D13">
        <v>4237230</v>
      </c>
      <c r="E13">
        <v>121352</v>
      </c>
      <c r="F13">
        <v>269353</v>
      </c>
      <c r="G13">
        <v>296346</v>
      </c>
      <c r="H13">
        <v>13.95</v>
      </c>
      <c r="I13">
        <v>176125.98</v>
      </c>
    </row>
    <row r="14" spans="1:9" x14ac:dyDescent="0.3">
      <c r="A14" t="s">
        <v>50</v>
      </c>
      <c r="B14" s="7">
        <v>45292</v>
      </c>
      <c r="C14">
        <v>9608643</v>
      </c>
      <c r="D14">
        <v>8327217</v>
      </c>
      <c r="E14">
        <v>192180</v>
      </c>
      <c r="F14">
        <v>446044</v>
      </c>
      <c r="G14">
        <v>643202</v>
      </c>
      <c r="H14">
        <v>13.34</v>
      </c>
      <c r="I14">
        <v>250674.22</v>
      </c>
    </row>
    <row r="15" spans="1:9" x14ac:dyDescent="0.3">
      <c r="A15" t="s">
        <v>52</v>
      </c>
      <c r="B15" s="7">
        <v>45292</v>
      </c>
      <c r="C15">
        <v>5858941</v>
      </c>
      <c r="D15">
        <v>4747848</v>
      </c>
      <c r="E15">
        <v>36319</v>
      </c>
      <c r="F15">
        <v>142516</v>
      </c>
      <c r="G15">
        <v>932258</v>
      </c>
      <c r="H15">
        <v>18.96</v>
      </c>
      <c r="I15">
        <v>82701.600000000006</v>
      </c>
    </row>
    <row r="16" spans="1:9" x14ac:dyDescent="0.3">
      <c r="A16" t="s">
        <v>53</v>
      </c>
      <c r="B16" s="7">
        <v>45292</v>
      </c>
      <c r="C16">
        <v>2266039</v>
      </c>
      <c r="D16">
        <v>1866576</v>
      </c>
      <c r="E16">
        <v>20220</v>
      </c>
      <c r="F16">
        <v>122261</v>
      </c>
      <c r="G16">
        <v>256982</v>
      </c>
      <c r="H16">
        <v>17.63</v>
      </c>
      <c r="I16">
        <v>51896.11</v>
      </c>
    </row>
    <row r="17" spans="1:9" x14ac:dyDescent="0.3">
      <c r="A17" t="s">
        <v>38</v>
      </c>
      <c r="B17" s="7">
        <v>45323</v>
      </c>
      <c r="C17">
        <v>14656209</v>
      </c>
      <c r="D17">
        <v>11442521</v>
      </c>
      <c r="E17">
        <v>424054</v>
      </c>
      <c r="F17">
        <v>456691</v>
      </c>
      <c r="G17">
        <v>2332943</v>
      </c>
      <c r="H17">
        <v>21.93</v>
      </c>
      <c r="I17">
        <v>226150.61</v>
      </c>
    </row>
    <row r="18" spans="1:9" x14ac:dyDescent="0.3">
      <c r="A18" t="s">
        <v>39</v>
      </c>
      <c r="B18" s="7">
        <v>45323</v>
      </c>
      <c r="C18">
        <v>14656209</v>
      </c>
      <c r="D18">
        <v>10393666</v>
      </c>
      <c r="E18">
        <v>122221</v>
      </c>
      <c r="F18">
        <v>382928</v>
      </c>
      <c r="G18">
        <v>3757394</v>
      </c>
      <c r="H18">
        <v>29.08</v>
      </c>
      <c r="I18">
        <v>226150.61</v>
      </c>
    </row>
    <row r="19" spans="1:9" x14ac:dyDescent="0.3">
      <c r="A19" t="s">
        <v>40</v>
      </c>
      <c r="B19" s="7">
        <v>45323</v>
      </c>
      <c r="C19">
        <v>9147841</v>
      </c>
      <c r="D19">
        <v>7604257</v>
      </c>
      <c r="E19">
        <v>225449</v>
      </c>
      <c r="F19">
        <v>299586</v>
      </c>
      <c r="G19">
        <v>1018549</v>
      </c>
      <c r="H19">
        <v>16.87</v>
      </c>
      <c r="I19">
        <v>207899.96</v>
      </c>
    </row>
    <row r="20" spans="1:9" x14ac:dyDescent="0.3">
      <c r="A20" t="s">
        <v>41</v>
      </c>
      <c r="B20" s="7">
        <v>45323</v>
      </c>
      <c r="C20">
        <v>5454825</v>
      </c>
      <c r="D20">
        <v>3828314</v>
      </c>
      <c r="E20">
        <v>99067</v>
      </c>
      <c r="F20">
        <v>286970</v>
      </c>
      <c r="G20">
        <v>1240474</v>
      </c>
      <c r="H20">
        <v>29.82</v>
      </c>
      <c r="I20">
        <v>186982.87</v>
      </c>
    </row>
    <row r="21" spans="1:9" x14ac:dyDescent="0.3">
      <c r="A21" t="s">
        <v>42</v>
      </c>
      <c r="B21" s="7">
        <v>45323</v>
      </c>
      <c r="C21">
        <v>4599187</v>
      </c>
      <c r="D21">
        <v>3558035</v>
      </c>
      <c r="E21">
        <v>38574</v>
      </c>
      <c r="F21">
        <v>93228</v>
      </c>
      <c r="G21">
        <v>909350</v>
      </c>
      <c r="H21">
        <v>22.64</v>
      </c>
      <c r="I21">
        <v>122695.99</v>
      </c>
    </row>
    <row r="22" spans="1:9" x14ac:dyDescent="0.3">
      <c r="A22" t="s">
        <v>43</v>
      </c>
      <c r="B22" s="7">
        <v>45323</v>
      </c>
      <c r="C22">
        <v>4942784</v>
      </c>
      <c r="D22">
        <v>3584275</v>
      </c>
      <c r="E22">
        <v>111677</v>
      </c>
      <c r="F22">
        <v>256235</v>
      </c>
      <c r="G22">
        <v>990597</v>
      </c>
      <c r="H22">
        <v>27.48</v>
      </c>
      <c r="I22">
        <v>184756.97</v>
      </c>
    </row>
    <row r="23" spans="1:9" x14ac:dyDescent="0.3">
      <c r="A23" t="s">
        <v>44</v>
      </c>
      <c r="B23" s="7">
        <v>45323</v>
      </c>
      <c r="C23">
        <v>2485216</v>
      </c>
      <c r="D23">
        <v>2036658</v>
      </c>
      <c r="E23">
        <v>35735</v>
      </c>
      <c r="F23">
        <v>57211</v>
      </c>
      <c r="G23">
        <v>355612</v>
      </c>
      <c r="H23">
        <v>18.05</v>
      </c>
      <c r="I23">
        <v>38067.230000000003</v>
      </c>
    </row>
    <row r="24" spans="1:9" x14ac:dyDescent="0.3">
      <c r="A24" t="s">
        <v>45</v>
      </c>
      <c r="B24" s="7">
        <v>45323</v>
      </c>
      <c r="C24">
        <v>5454825</v>
      </c>
      <c r="D24">
        <v>4115372</v>
      </c>
      <c r="E24">
        <v>141685</v>
      </c>
      <c r="F24">
        <v>200925</v>
      </c>
      <c r="G24">
        <v>996843</v>
      </c>
      <c r="H24">
        <v>24.56</v>
      </c>
      <c r="I24">
        <v>186982.87</v>
      </c>
    </row>
    <row r="25" spans="1:9" x14ac:dyDescent="0.3">
      <c r="A25" t="s">
        <v>46</v>
      </c>
      <c r="B25" s="7">
        <v>45323</v>
      </c>
      <c r="C25">
        <v>6605868</v>
      </c>
      <c r="D25">
        <v>4296421</v>
      </c>
      <c r="E25">
        <v>141580</v>
      </c>
      <c r="F25">
        <v>356454</v>
      </c>
      <c r="G25">
        <v>1811413</v>
      </c>
      <c r="H25">
        <v>34.96</v>
      </c>
      <c r="I25">
        <v>244703.35999999999</v>
      </c>
    </row>
    <row r="26" spans="1:9" x14ac:dyDescent="0.3">
      <c r="A26" t="s">
        <v>47</v>
      </c>
      <c r="B26" s="7">
        <v>45323</v>
      </c>
      <c r="C26">
        <v>3585354</v>
      </c>
      <c r="D26">
        <v>2641807</v>
      </c>
      <c r="E26">
        <v>42166</v>
      </c>
      <c r="F26">
        <v>75444</v>
      </c>
      <c r="G26">
        <v>825937</v>
      </c>
      <c r="H26">
        <v>26.32</v>
      </c>
      <c r="I26">
        <v>84867.49</v>
      </c>
    </row>
    <row r="27" spans="1:9" x14ac:dyDescent="0.3">
      <c r="A27" t="s">
        <v>48</v>
      </c>
      <c r="B27" s="7">
        <v>45323</v>
      </c>
      <c r="C27">
        <v>14656209</v>
      </c>
      <c r="D27">
        <v>12245750</v>
      </c>
      <c r="E27">
        <v>132879</v>
      </c>
      <c r="F27">
        <v>336336</v>
      </c>
      <c r="G27">
        <v>1941244</v>
      </c>
      <c r="H27">
        <v>16.45</v>
      </c>
      <c r="I27">
        <v>226150.61</v>
      </c>
    </row>
    <row r="28" spans="1:9" x14ac:dyDescent="0.3">
      <c r="A28" t="s">
        <v>49</v>
      </c>
      <c r="B28" s="7">
        <v>45323</v>
      </c>
      <c r="C28">
        <v>4599187</v>
      </c>
      <c r="D28">
        <v>3465127</v>
      </c>
      <c r="E28">
        <v>78828</v>
      </c>
      <c r="F28">
        <v>204012</v>
      </c>
      <c r="G28">
        <v>851220</v>
      </c>
      <c r="H28">
        <v>24.66</v>
      </c>
      <c r="I28">
        <v>122695.99</v>
      </c>
    </row>
    <row r="29" spans="1:9" x14ac:dyDescent="0.3">
      <c r="A29" t="s">
        <v>50</v>
      </c>
      <c r="B29" s="7">
        <v>45323</v>
      </c>
      <c r="C29">
        <v>9147841</v>
      </c>
      <c r="D29">
        <v>7564881</v>
      </c>
      <c r="E29">
        <v>273856</v>
      </c>
      <c r="F29">
        <v>277884</v>
      </c>
      <c r="G29">
        <v>1031220</v>
      </c>
      <c r="H29">
        <v>17.3</v>
      </c>
      <c r="I29">
        <v>207899.96</v>
      </c>
    </row>
    <row r="30" spans="1:9" x14ac:dyDescent="0.3">
      <c r="A30" t="s">
        <v>52</v>
      </c>
      <c r="B30" s="7">
        <v>45323</v>
      </c>
      <c r="C30">
        <v>4942784</v>
      </c>
      <c r="D30">
        <v>3367337</v>
      </c>
      <c r="E30">
        <v>79617</v>
      </c>
      <c r="F30">
        <v>123291</v>
      </c>
      <c r="G30">
        <v>1372539</v>
      </c>
      <c r="H30">
        <v>31.87</v>
      </c>
      <c r="I30">
        <v>184756.97</v>
      </c>
    </row>
    <row r="31" spans="1:9" x14ac:dyDescent="0.3">
      <c r="A31" t="s">
        <v>53</v>
      </c>
      <c r="B31" s="7">
        <v>45323</v>
      </c>
      <c r="C31">
        <v>2485216</v>
      </c>
      <c r="D31">
        <v>2119606</v>
      </c>
      <c r="E31">
        <v>32347</v>
      </c>
      <c r="F31">
        <v>82598</v>
      </c>
      <c r="G31">
        <v>250665</v>
      </c>
      <c r="H31">
        <v>14.71</v>
      </c>
      <c r="I31">
        <v>38067.230000000003</v>
      </c>
    </row>
    <row r="32" spans="1:9" x14ac:dyDescent="0.3">
      <c r="A32" t="s">
        <v>38</v>
      </c>
      <c r="B32" s="7">
        <v>45352</v>
      </c>
      <c r="C32">
        <v>13951214</v>
      </c>
      <c r="D32">
        <v>10156917</v>
      </c>
      <c r="E32">
        <v>142050</v>
      </c>
      <c r="F32">
        <v>672441</v>
      </c>
      <c r="G32">
        <v>2979806</v>
      </c>
      <c r="H32">
        <v>27.2</v>
      </c>
      <c r="I32">
        <v>435288.46</v>
      </c>
    </row>
    <row r="33" spans="1:9" x14ac:dyDescent="0.3">
      <c r="A33" t="s">
        <v>39</v>
      </c>
      <c r="B33" s="7">
        <v>45352</v>
      </c>
      <c r="C33">
        <v>13951214</v>
      </c>
      <c r="D33">
        <v>10634707</v>
      </c>
      <c r="E33">
        <v>261318</v>
      </c>
      <c r="F33">
        <v>541769</v>
      </c>
      <c r="G33">
        <v>2513420</v>
      </c>
      <c r="H33">
        <v>23.77</v>
      </c>
      <c r="I33">
        <v>435288.46</v>
      </c>
    </row>
    <row r="34" spans="1:9" x14ac:dyDescent="0.3">
      <c r="A34" t="s">
        <v>40</v>
      </c>
      <c r="B34" s="7">
        <v>45352</v>
      </c>
      <c r="C34">
        <v>12092007</v>
      </c>
      <c r="D34">
        <v>9088887</v>
      </c>
      <c r="E34">
        <v>288520</v>
      </c>
      <c r="F34">
        <v>470871</v>
      </c>
      <c r="G34">
        <v>2243729</v>
      </c>
      <c r="H34">
        <v>24.84</v>
      </c>
      <c r="I34">
        <v>393041.91</v>
      </c>
    </row>
    <row r="35" spans="1:9" x14ac:dyDescent="0.3">
      <c r="A35" t="s">
        <v>41</v>
      </c>
      <c r="B35" s="7">
        <v>45352</v>
      </c>
      <c r="C35">
        <v>7059807</v>
      </c>
      <c r="D35">
        <v>5299966</v>
      </c>
      <c r="E35">
        <v>106960</v>
      </c>
      <c r="F35">
        <v>300748</v>
      </c>
      <c r="G35">
        <v>1352133</v>
      </c>
      <c r="H35">
        <v>24.93</v>
      </c>
      <c r="I35">
        <v>217774.59</v>
      </c>
    </row>
    <row r="36" spans="1:9" x14ac:dyDescent="0.3">
      <c r="A36" t="s">
        <v>42</v>
      </c>
      <c r="B36" s="7">
        <v>45352</v>
      </c>
      <c r="C36">
        <v>5874460</v>
      </c>
      <c r="D36">
        <v>5093748</v>
      </c>
      <c r="E36">
        <v>77769</v>
      </c>
      <c r="F36">
        <v>196144</v>
      </c>
      <c r="G36">
        <v>506799</v>
      </c>
      <c r="H36">
        <v>13.29</v>
      </c>
      <c r="I36">
        <v>211158.35</v>
      </c>
    </row>
    <row r="37" spans="1:9" x14ac:dyDescent="0.3">
      <c r="A37" t="s">
        <v>43</v>
      </c>
      <c r="B37" s="7">
        <v>45352</v>
      </c>
      <c r="C37">
        <v>5548622</v>
      </c>
      <c r="D37">
        <v>4410932</v>
      </c>
      <c r="E37">
        <v>78484</v>
      </c>
      <c r="F37">
        <v>154712</v>
      </c>
      <c r="G37">
        <v>904494</v>
      </c>
      <c r="H37">
        <v>20.5</v>
      </c>
      <c r="I37">
        <v>151830.93</v>
      </c>
    </row>
    <row r="38" spans="1:9" x14ac:dyDescent="0.3">
      <c r="A38" t="s">
        <v>44</v>
      </c>
      <c r="B38" s="7">
        <v>45352</v>
      </c>
      <c r="C38">
        <v>3331992</v>
      </c>
      <c r="D38">
        <v>2528214</v>
      </c>
      <c r="E38">
        <v>79118</v>
      </c>
      <c r="F38">
        <v>159229</v>
      </c>
      <c r="G38">
        <v>565431</v>
      </c>
      <c r="H38">
        <v>24.12</v>
      </c>
      <c r="I38">
        <v>52223.13</v>
      </c>
    </row>
    <row r="39" spans="1:9" x14ac:dyDescent="0.3">
      <c r="A39" t="s">
        <v>45</v>
      </c>
      <c r="B39" s="7">
        <v>45352</v>
      </c>
      <c r="C39">
        <v>7059807</v>
      </c>
      <c r="D39">
        <v>5486698</v>
      </c>
      <c r="E39">
        <v>209564</v>
      </c>
      <c r="F39">
        <v>161808</v>
      </c>
      <c r="G39">
        <v>1201737</v>
      </c>
      <c r="H39">
        <v>22.28</v>
      </c>
      <c r="I39">
        <v>217774.59</v>
      </c>
    </row>
    <row r="40" spans="1:9" x14ac:dyDescent="0.3">
      <c r="A40" t="s">
        <v>46</v>
      </c>
      <c r="B40" s="7">
        <v>45352</v>
      </c>
      <c r="C40">
        <v>5755923</v>
      </c>
      <c r="D40">
        <v>4564734</v>
      </c>
      <c r="E40">
        <v>63051</v>
      </c>
      <c r="F40">
        <v>228401</v>
      </c>
      <c r="G40">
        <v>899737</v>
      </c>
      <c r="H40">
        <v>20.7</v>
      </c>
      <c r="I40">
        <v>220110.64</v>
      </c>
    </row>
    <row r="41" spans="1:9" x14ac:dyDescent="0.3">
      <c r="A41" t="s">
        <v>47</v>
      </c>
      <c r="B41" s="7">
        <v>45352</v>
      </c>
      <c r="C41">
        <v>2978427</v>
      </c>
      <c r="D41">
        <v>2562058</v>
      </c>
      <c r="E41">
        <v>19254</v>
      </c>
      <c r="F41">
        <v>177696</v>
      </c>
      <c r="G41">
        <v>219419</v>
      </c>
      <c r="H41">
        <v>13.98</v>
      </c>
      <c r="I41">
        <v>61281.9</v>
      </c>
    </row>
    <row r="42" spans="1:9" x14ac:dyDescent="0.3">
      <c r="A42" t="s">
        <v>48</v>
      </c>
      <c r="B42" s="7">
        <v>45352</v>
      </c>
      <c r="C42">
        <v>13951214</v>
      </c>
      <c r="D42">
        <v>10268840</v>
      </c>
      <c r="E42">
        <v>401677</v>
      </c>
      <c r="F42">
        <v>320431</v>
      </c>
      <c r="G42">
        <v>2960266</v>
      </c>
      <c r="H42">
        <v>26.39</v>
      </c>
      <c r="I42">
        <v>435288.46</v>
      </c>
    </row>
    <row r="43" spans="1:9" x14ac:dyDescent="0.3">
      <c r="A43" t="s">
        <v>49</v>
      </c>
      <c r="B43" s="7">
        <v>45352</v>
      </c>
      <c r="C43">
        <v>5874460</v>
      </c>
      <c r="D43">
        <v>4046564</v>
      </c>
      <c r="E43">
        <v>118760</v>
      </c>
      <c r="F43">
        <v>280484</v>
      </c>
      <c r="G43">
        <v>1428652</v>
      </c>
      <c r="H43">
        <v>31.12</v>
      </c>
      <c r="I43">
        <v>211158.35</v>
      </c>
    </row>
    <row r="44" spans="1:9" x14ac:dyDescent="0.3">
      <c r="A44" t="s">
        <v>50</v>
      </c>
      <c r="B44" s="7">
        <v>45352</v>
      </c>
      <c r="C44">
        <v>12092007</v>
      </c>
      <c r="D44">
        <v>7975115</v>
      </c>
      <c r="E44">
        <v>274509</v>
      </c>
      <c r="F44">
        <v>518525</v>
      </c>
      <c r="G44">
        <v>3323858</v>
      </c>
      <c r="H44">
        <v>34.049999999999997</v>
      </c>
      <c r="I44">
        <v>393041.91</v>
      </c>
    </row>
    <row r="45" spans="1:9" x14ac:dyDescent="0.3">
      <c r="A45" t="s">
        <v>52</v>
      </c>
      <c r="B45" s="7">
        <v>45352</v>
      </c>
      <c r="C45">
        <v>5548622</v>
      </c>
      <c r="D45">
        <v>3914461</v>
      </c>
      <c r="E45">
        <v>122865</v>
      </c>
      <c r="F45">
        <v>113037</v>
      </c>
      <c r="G45">
        <v>1398259</v>
      </c>
      <c r="H45">
        <v>29.45</v>
      </c>
      <c r="I45">
        <v>151830.93</v>
      </c>
    </row>
    <row r="46" spans="1:9" x14ac:dyDescent="0.3">
      <c r="A46" t="s">
        <v>53</v>
      </c>
      <c r="B46" s="7">
        <v>45352</v>
      </c>
      <c r="C46">
        <v>3331992</v>
      </c>
      <c r="D46">
        <v>2661041</v>
      </c>
      <c r="E46">
        <v>48200</v>
      </c>
      <c r="F46">
        <v>175543</v>
      </c>
      <c r="G46">
        <v>447208</v>
      </c>
      <c r="H46">
        <v>20.14</v>
      </c>
      <c r="I46">
        <v>52223.13</v>
      </c>
    </row>
    <row r="47" spans="1:9" x14ac:dyDescent="0.3">
      <c r="A47" t="s">
        <v>38</v>
      </c>
      <c r="B47" s="7">
        <v>45383</v>
      </c>
      <c r="C47">
        <v>10066335</v>
      </c>
      <c r="D47">
        <v>9080831</v>
      </c>
      <c r="E47">
        <v>250502</v>
      </c>
      <c r="F47">
        <v>311435</v>
      </c>
      <c r="G47">
        <v>423567</v>
      </c>
      <c r="H47">
        <v>9.7899999999999991</v>
      </c>
      <c r="I47">
        <v>202592.74</v>
      </c>
    </row>
    <row r="48" spans="1:9" x14ac:dyDescent="0.3">
      <c r="A48" t="s">
        <v>39</v>
      </c>
      <c r="B48" s="7">
        <v>45383</v>
      </c>
      <c r="C48">
        <v>10066335</v>
      </c>
      <c r="D48">
        <v>7136740</v>
      </c>
      <c r="E48">
        <v>112608</v>
      </c>
      <c r="F48">
        <v>505225</v>
      </c>
      <c r="G48">
        <v>2311762</v>
      </c>
      <c r="H48">
        <v>29.1</v>
      </c>
      <c r="I48">
        <v>202592.74</v>
      </c>
    </row>
    <row r="49" spans="1:9" x14ac:dyDescent="0.3">
      <c r="A49" t="s">
        <v>40</v>
      </c>
      <c r="B49" s="7">
        <v>45383</v>
      </c>
      <c r="C49">
        <v>9200861</v>
      </c>
      <c r="D49">
        <v>7738344</v>
      </c>
      <c r="E49">
        <v>231350</v>
      </c>
      <c r="F49">
        <v>520673</v>
      </c>
      <c r="G49">
        <v>710494</v>
      </c>
      <c r="H49">
        <v>15.9</v>
      </c>
      <c r="I49">
        <v>258067.16</v>
      </c>
    </row>
    <row r="50" spans="1:9" x14ac:dyDescent="0.3">
      <c r="A50" t="s">
        <v>41</v>
      </c>
      <c r="B50" s="7">
        <v>45383</v>
      </c>
      <c r="C50">
        <v>5608356</v>
      </c>
      <c r="D50">
        <v>4681245</v>
      </c>
      <c r="E50">
        <v>146920</v>
      </c>
      <c r="F50">
        <v>258822</v>
      </c>
      <c r="G50">
        <v>521369</v>
      </c>
      <c r="H50">
        <v>16.53</v>
      </c>
      <c r="I50">
        <v>94114.78</v>
      </c>
    </row>
    <row r="51" spans="1:9" x14ac:dyDescent="0.3">
      <c r="A51" t="s">
        <v>42</v>
      </c>
      <c r="B51" s="7">
        <v>45383</v>
      </c>
      <c r="C51">
        <v>4994249</v>
      </c>
      <c r="D51">
        <v>3429818</v>
      </c>
      <c r="E51">
        <v>65008</v>
      </c>
      <c r="F51">
        <v>289122</v>
      </c>
      <c r="G51">
        <v>1210301</v>
      </c>
      <c r="H51">
        <v>31.32</v>
      </c>
      <c r="I51">
        <v>89709</v>
      </c>
    </row>
    <row r="52" spans="1:9" x14ac:dyDescent="0.3">
      <c r="A52" t="s">
        <v>43</v>
      </c>
      <c r="B52" s="7">
        <v>45383</v>
      </c>
      <c r="C52">
        <v>5260168</v>
      </c>
      <c r="D52">
        <v>4114296</v>
      </c>
      <c r="E52">
        <v>153322</v>
      </c>
      <c r="F52">
        <v>171145</v>
      </c>
      <c r="G52">
        <v>821405</v>
      </c>
      <c r="H52">
        <v>21.78</v>
      </c>
      <c r="I52">
        <v>181120.31</v>
      </c>
    </row>
    <row r="53" spans="1:9" x14ac:dyDescent="0.3">
      <c r="A53" t="s">
        <v>44</v>
      </c>
      <c r="B53" s="7">
        <v>45383</v>
      </c>
      <c r="C53">
        <v>2231823</v>
      </c>
      <c r="D53">
        <v>1647906</v>
      </c>
      <c r="E53">
        <v>11297</v>
      </c>
      <c r="F53">
        <v>113745</v>
      </c>
      <c r="G53">
        <v>458875</v>
      </c>
      <c r="H53">
        <v>26.16</v>
      </c>
      <c r="I53">
        <v>64373.89</v>
      </c>
    </row>
    <row r="54" spans="1:9" x14ac:dyDescent="0.3">
      <c r="A54" t="s">
        <v>45</v>
      </c>
      <c r="B54" s="7">
        <v>45383</v>
      </c>
      <c r="C54">
        <v>5608356</v>
      </c>
      <c r="D54">
        <v>3972121</v>
      </c>
      <c r="E54">
        <v>157395</v>
      </c>
      <c r="F54">
        <v>324988</v>
      </c>
      <c r="G54">
        <v>1153852</v>
      </c>
      <c r="H54">
        <v>29.17</v>
      </c>
      <c r="I54">
        <v>94114.78</v>
      </c>
    </row>
    <row r="55" spans="1:9" x14ac:dyDescent="0.3">
      <c r="A55" t="s">
        <v>46</v>
      </c>
      <c r="B55" s="7">
        <v>45383</v>
      </c>
      <c r="C55">
        <v>5853969</v>
      </c>
      <c r="D55">
        <v>4247363</v>
      </c>
      <c r="E55">
        <v>35694</v>
      </c>
      <c r="F55">
        <v>171280</v>
      </c>
      <c r="G55">
        <v>1399632</v>
      </c>
      <c r="H55">
        <v>27.44</v>
      </c>
      <c r="I55">
        <v>174264.04</v>
      </c>
    </row>
    <row r="56" spans="1:9" x14ac:dyDescent="0.3">
      <c r="A56" t="s">
        <v>47</v>
      </c>
      <c r="B56" s="7">
        <v>45383</v>
      </c>
      <c r="C56">
        <v>3414612</v>
      </c>
      <c r="D56">
        <v>3141079</v>
      </c>
      <c r="E56">
        <v>100217</v>
      </c>
      <c r="F56">
        <v>81969</v>
      </c>
      <c r="G56">
        <v>91347</v>
      </c>
      <c r="H56">
        <v>8.01</v>
      </c>
      <c r="I56">
        <v>47061.7</v>
      </c>
    </row>
    <row r="57" spans="1:9" x14ac:dyDescent="0.3">
      <c r="A57" t="s">
        <v>48</v>
      </c>
      <c r="B57" s="7">
        <v>45383</v>
      </c>
      <c r="C57">
        <v>10066335</v>
      </c>
      <c r="D57">
        <v>8532587</v>
      </c>
      <c r="E57">
        <v>188000</v>
      </c>
      <c r="F57">
        <v>562959</v>
      </c>
      <c r="G57">
        <v>782789</v>
      </c>
      <c r="H57">
        <v>15.24</v>
      </c>
      <c r="I57">
        <v>202592.74</v>
      </c>
    </row>
    <row r="58" spans="1:9" x14ac:dyDescent="0.3">
      <c r="A58" t="s">
        <v>49</v>
      </c>
      <c r="B58" s="7">
        <v>45383</v>
      </c>
      <c r="C58">
        <v>4994249</v>
      </c>
      <c r="D58">
        <v>3566624</v>
      </c>
      <c r="E58">
        <v>118082</v>
      </c>
      <c r="F58">
        <v>283840</v>
      </c>
      <c r="G58">
        <v>1025703</v>
      </c>
      <c r="H58">
        <v>28.59</v>
      </c>
      <c r="I58">
        <v>89709</v>
      </c>
    </row>
    <row r="59" spans="1:9" x14ac:dyDescent="0.3">
      <c r="A59" t="s">
        <v>50</v>
      </c>
      <c r="B59" s="7">
        <v>45383</v>
      </c>
      <c r="C59">
        <v>9200861</v>
      </c>
      <c r="D59">
        <v>6532961</v>
      </c>
      <c r="E59">
        <v>168981</v>
      </c>
      <c r="F59">
        <v>472886</v>
      </c>
      <c r="G59">
        <v>2026033</v>
      </c>
      <c r="H59">
        <v>29</v>
      </c>
      <c r="I59">
        <v>258067.16</v>
      </c>
    </row>
    <row r="60" spans="1:9" x14ac:dyDescent="0.3">
      <c r="A60" t="s">
        <v>52</v>
      </c>
      <c r="B60" s="7">
        <v>45383</v>
      </c>
      <c r="C60">
        <v>5260168</v>
      </c>
      <c r="D60">
        <v>4158075</v>
      </c>
      <c r="E60">
        <v>108201</v>
      </c>
      <c r="F60">
        <v>252640</v>
      </c>
      <c r="G60">
        <v>741252</v>
      </c>
      <c r="H60">
        <v>20.95</v>
      </c>
      <c r="I60">
        <v>181120.31</v>
      </c>
    </row>
    <row r="61" spans="1:9" x14ac:dyDescent="0.3">
      <c r="A61" t="s">
        <v>53</v>
      </c>
      <c r="B61" s="7">
        <v>45383</v>
      </c>
      <c r="C61">
        <v>2231823</v>
      </c>
      <c r="D61">
        <v>1795991</v>
      </c>
      <c r="E61">
        <v>16070</v>
      </c>
      <c r="F61">
        <v>89135</v>
      </c>
      <c r="G61">
        <v>330627</v>
      </c>
      <c r="H61">
        <v>19.53</v>
      </c>
      <c r="I61">
        <v>64373.89</v>
      </c>
    </row>
    <row r="62" spans="1:9" x14ac:dyDescent="0.3">
      <c r="A62" t="s">
        <v>38</v>
      </c>
      <c r="B62" s="7">
        <v>45413</v>
      </c>
      <c r="C62">
        <v>16010152</v>
      </c>
      <c r="D62">
        <v>12047918</v>
      </c>
      <c r="E62">
        <v>472363</v>
      </c>
      <c r="F62">
        <v>844296</v>
      </c>
      <c r="G62">
        <v>2645575</v>
      </c>
      <c r="H62">
        <v>24.75</v>
      </c>
      <c r="I62">
        <v>427838.5</v>
      </c>
    </row>
    <row r="63" spans="1:9" x14ac:dyDescent="0.3">
      <c r="A63" t="s">
        <v>39</v>
      </c>
      <c r="B63" s="7">
        <v>45413</v>
      </c>
      <c r="C63">
        <v>16010152</v>
      </c>
      <c r="D63">
        <v>12337774</v>
      </c>
      <c r="E63">
        <v>361735</v>
      </c>
      <c r="F63">
        <v>370220</v>
      </c>
      <c r="G63">
        <v>2940423</v>
      </c>
      <c r="H63">
        <v>22.94</v>
      </c>
      <c r="I63">
        <v>427838.5</v>
      </c>
    </row>
    <row r="64" spans="1:9" x14ac:dyDescent="0.3">
      <c r="A64" t="s">
        <v>40</v>
      </c>
      <c r="B64" s="7">
        <v>45413</v>
      </c>
      <c r="C64">
        <v>12913576</v>
      </c>
      <c r="D64">
        <v>10241728</v>
      </c>
      <c r="E64">
        <v>189964</v>
      </c>
      <c r="F64">
        <v>389987</v>
      </c>
      <c r="G64">
        <v>2091897</v>
      </c>
      <c r="H64">
        <v>20.69</v>
      </c>
      <c r="I64">
        <v>328173.03000000003</v>
      </c>
    </row>
    <row r="65" spans="1:9" x14ac:dyDescent="0.3">
      <c r="A65" t="s">
        <v>41</v>
      </c>
      <c r="B65" s="7">
        <v>45413</v>
      </c>
      <c r="C65">
        <v>6470311</v>
      </c>
      <c r="D65">
        <v>4369046</v>
      </c>
      <c r="E65">
        <v>93700</v>
      </c>
      <c r="F65">
        <v>272452</v>
      </c>
      <c r="G65">
        <v>1735113</v>
      </c>
      <c r="H65">
        <v>32.479999999999997</v>
      </c>
      <c r="I65">
        <v>144764.88</v>
      </c>
    </row>
    <row r="66" spans="1:9" x14ac:dyDescent="0.3">
      <c r="A66" t="s">
        <v>42</v>
      </c>
      <c r="B66" s="7">
        <v>45413</v>
      </c>
      <c r="C66">
        <v>4912794</v>
      </c>
      <c r="D66">
        <v>4472780</v>
      </c>
      <c r="E66">
        <v>143542</v>
      </c>
      <c r="F66">
        <v>155528</v>
      </c>
      <c r="G66">
        <v>140944</v>
      </c>
      <c r="H66">
        <v>8.9600000000000009</v>
      </c>
      <c r="I66">
        <v>174138.63</v>
      </c>
    </row>
    <row r="67" spans="1:9" x14ac:dyDescent="0.3">
      <c r="A67" t="s">
        <v>43</v>
      </c>
      <c r="B67" s="7">
        <v>45413</v>
      </c>
      <c r="C67">
        <v>3457711</v>
      </c>
      <c r="D67">
        <v>2354157</v>
      </c>
      <c r="E67">
        <v>47715</v>
      </c>
      <c r="F67">
        <v>132480</v>
      </c>
      <c r="G67">
        <v>923359</v>
      </c>
      <c r="H67">
        <v>31.92</v>
      </c>
      <c r="I67">
        <v>80004.97</v>
      </c>
    </row>
    <row r="68" spans="1:9" x14ac:dyDescent="0.3">
      <c r="A68" t="s">
        <v>44</v>
      </c>
      <c r="B68" s="7">
        <v>45413</v>
      </c>
      <c r="C68">
        <v>3009778</v>
      </c>
      <c r="D68">
        <v>2472252</v>
      </c>
      <c r="E68">
        <v>67516</v>
      </c>
      <c r="F68">
        <v>162540</v>
      </c>
      <c r="G68">
        <v>307470</v>
      </c>
      <c r="H68">
        <v>17.86</v>
      </c>
      <c r="I68">
        <v>89270.1</v>
      </c>
    </row>
    <row r="69" spans="1:9" x14ac:dyDescent="0.3">
      <c r="A69" t="s">
        <v>45</v>
      </c>
      <c r="B69" s="7">
        <v>45413</v>
      </c>
      <c r="C69">
        <v>6470311</v>
      </c>
      <c r="D69">
        <v>5450653</v>
      </c>
      <c r="E69">
        <v>156437</v>
      </c>
      <c r="F69">
        <v>239032</v>
      </c>
      <c r="G69">
        <v>624189</v>
      </c>
      <c r="H69">
        <v>15.76</v>
      </c>
      <c r="I69">
        <v>144764.88</v>
      </c>
    </row>
    <row r="70" spans="1:9" x14ac:dyDescent="0.3">
      <c r="A70" t="s">
        <v>46</v>
      </c>
      <c r="B70" s="7">
        <v>45413</v>
      </c>
      <c r="C70">
        <v>6522849</v>
      </c>
      <c r="D70">
        <v>5817116</v>
      </c>
      <c r="E70">
        <v>107375</v>
      </c>
      <c r="F70">
        <v>325594</v>
      </c>
      <c r="G70">
        <v>272764</v>
      </c>
      <c r="H70">
        <v>10.82</v>
      </c>
      <c r="I70">
        <v>115572.53</v>
      </c>
    </row>
    <row r="71" spans="1:9" x14ac:dyDescent="0.3">
      <c r="A71" t="s">
        <v>47</v>
      </c>
      <c r="B71" s="7">
        <v>45413</v>
      </c>
      <c r="C71">
        <v>4197249</v>
      </c>
      <c r="D71">
        <v>3653272</v>
      </c>
      <c r="E71">
        <v>117235</v>
      </c>
      <c r="F71">
        <v>93331</v>
      </c>
      <c r="G71">
        <v>333411</v>
      </c>
      <c r="H71">
        <v>12.96</v>
      </c>
      <c r="I71">
        <v>56145.51</v>
      </c>
    </row>
    <row r="72" spans="1:9" x14ac:dyDescent="0.3">
      <c r="A72" t="s">
        <v>48</v>
      </c>
      <c r="B72" s="7">
        <v>45413</v>
      </c>
      <c r="C72">
        <v>16010152</v>
      </c>
      <c r="D72">
        <v>14267784</v>
      </c>
      <c r="E72">
        <v>362031</v>
      </c>
      <c r="F72">
        <v>596425</v>
      </c>
      <c r="G72">
        <v>783912</v>
      </c>
      <c r="H72">
        <v>10.88</v>
      </c>
      <c r="I72">
        <v>427838.5</v>
      </c>
    </row>
    <row r="73" spans="1:9" x14ac:dyDescent="0.3">
      <c r="A73" t="s">
        <v>49</v>
      </c>
      <c r="B73" s="7">
        <v>45413</v>
      </c>
      <c r="C73">
        <v>4912794</v>
      </c>
      <c r="D73">
        <v>4277541</v>
      </c>
      <c r="E73">
        <v>61785</v>
      </c>
      <c r="F73">
        <v>153347</v>
      </c>
      <c r="G73">
        <v>420121</v>
      </c>
      <c r="H73">
        <v>12.93</v>
      </c>
      <c r="I73">
        <v>174138.63</v>
      </c>
    </row>
    <row r="74" spans="1:9" x14ac:dyDescent="0.3">
      <c r="A74" t="s">
        <v>50</v>
      </c>
      <c r="B74" s="7">
        <v>45413</v>
      </c>
      <c r="C74">
        <v>12913576</v>
      </c>
      <c r="D74">
        <v>10162661</v>
      </c>
      <c r="E74">
        <v>337502</v>
      </c>
      <c r="F74">
        <v>692497</v>
      </c>
      <c r="G74">
        <v>1720916</v>
      </c>
      <c r="H74">
        <v>21.3</v>
      </c>
      <c r="I74">
        <v>328173.03000000003</v>
      </c>
    </row>
    <row r="75" spans="1:9" x14ac:dyDescent="0.3">
      <c r="A75" t="s">
        <v>52</v>
      </c>
      <c r="B75" s="7">
        <v>45413</v>
      </c>
      <c r="C75">
        <v>3457711</v>
      </c>
      <c r="D75">
        <v>2918539</v>
      </c>
      <c r="E75">
        <v>27465</v>
      </c>
      <c r="F75">
        <v>84923</v>
      </c>
      <c r="G75">
        <v>426784</v>
      </c>
      <c r="H75">
        <v>15.59</v>
      </c>
      <c r="I75">
        <v>80004.97</v>
      </c>
    </row>
    <row r="76" spans="1:9" x14ac:dyDescent="0.3">
      <c r="A76" t="s">
        <v>53</v>
      </c>
      <c r="B76" s="7">
        <v>45413</v>
      </c>
      <c r="C76">
        <v>3009778</v>
      </c>
      <c r="D76">
        <v>2487312</v>
      </c>
      <c r="E76">
        <v>22772</v>
      </c>
      <c r="F76">
        <v>109837</v>
      </c>
      <c r="G76">
        <v>389857</v>
      </c>
      <c r="H76">
        <v>17.36</v>
      </c>
      <c r="I76">
        <v>89270.1</v>
      </c>
    </row>
    <row r="77" spans="1:9" x14ac:dyDescent="0.3">
      <c r="A77" t="s">
        <v>38</v>
      </c>
      <c r="B77" s="7">
        <v>45444</v>
      </c>
      <c r="C77">
        <v>14760014</v>
      </c>
      <c r="D77">
        <v>10751522</v>
      </c>
      <c r="E77">
        <v>179935</v>
      </c>
      <c r="F77">
        <v>716829</v>
      </c>
      <c r="G77">
        <v>3111728</v>
      </c>
      <c r="H77">
        <v>27.16</v>
      </c>
      <c r="I77">
        <v>206174.32</v>
      </c>
    </row>
    <row r="78" spans="1:9" x14ac:dyDescent="0.3">
      <c r="A78" t="s">
        <v>39</v>
      </c>
      <c r="B78" s="7">
        <v>45444</v>
      </c>
      <c r="C78">
        <v>14760014</v>
      </c>
      <c r="D78">
        <v>11776502</v>
      </c>
      <c r="E78">
        <v>260324</v>
      </c>
      <c r="F78">
        <v>633323</v>
      </c>
      <c r="G78">
        <v>2089865</v>
      </c>
      <c r="H78">
        <v>20.21</v>
      </c>
      <c r="I78">
        <v>206174.32</v>
      </c>
    </row>
    <row r="79" spans="1:9" x14ac:dyDescent="0.3">
      <c r="A79" t="s">
        <v>40</v>
      </c>
      <c r="B79" s="7">
        <v>45444</v>
      </c>
      <c r="C79">
        <v>9349954</v>
      </c>
      <c r="D79">
        <v>8216047</v>
      </c>
      <c r="E79">
        <v>68363</v>
      </c>
      <c r="F79">
        <v>457992</v>
      </c>
      <c r="G79">
        <v>607552</v>
      </c>
      <c r="H79">
        <v>12.13</v>
      </c>
      <c r="I79">
        <v>122046.25</v>
      </c>
    </row>
    <row r="80" spans="1:9" x14ac:dyDescent="0.3">
      <c r="A80" t="s">
        <v>41</v>
      </c>
      <c r="B80" s="7">
        <v>45444</v>
      </c>
      <c r="C80">
        <v>6888622</v>
      </c>
      <c r="D80">
        <v>4796365</v>
      </c>
      <c r="E80">
        <v>120526</v>
      </c>
      <c r="F80">
        <v>257334</v>
      </c>
      <c r="G80">
        <v>1714397</v>
      </c>
      <c r="H80">
        <v>30.37</v>
      </c>
      <c r="I80">
        <v>208156.48</v>
      </c>
    </row>
    <row r="81" spans="1:9" x14ac:dyDescent="0.3">
      <c r="A81" t="s">
        <v>42</v>
      </c>
      <c r="B81" s="7">
        <v>45444</v>
      </c>
      <c r="C81">
        <v>7064585</v>
      </c>
      <c r="D81">
        <v>6083547</v>
      </c>
      <c r="E81">
        <v>92879</v>
      </c>
      <c r="F81">
        <v>220499</v>
      </c>
      <c r="G81">
        <v>667660</v>
      </c>
      <c r="H81">
        <v>13.89</v>
      </c>
      <c r="I81">
        <v>196751.91</v>
      </c>
    </row>
    <row r="82" spans="1:9" x14ac:dyDescent="0.3">
      <c r="A82" t="s">
        <v>43</v>
      </c>
      <c r="B82" s="7">
        <v>45444</v>
      </c>
      <c r="C82">
        <v>3932374</v>
      </c>
      <c r="D82">
        <v>3406087</v>
      </c>
      <c r="E82">
        <v>109976</v>
      </c>
      <c r="F82">
        <v>171477</v>
      </c>
      <c r="G82">
        <v>244834</v>
      </c>
      <c r="H82">
        <v>13.38</v>
      </c>
      <c r="I82">
        <v>109302.08</v>
      </c>
    </row>
    <row r="83" spans="1:9" x14ac:dyDescent="0.3">
      <c r="A83" t="s">
        <v>44</v>
      </c>
      <c r="B83" s="7">
        <v>45444</v>
      </c>
      <c r="C83">
        <v>3319992</v>
      </c>
      <c r="D83">
        <v>3025823</v>
      </c>
      <c r="E83">
        <v>85062</v>
      </c>
      <c r="F83">
        <v>132097</v>
      </c>
      <c r="G83">
        <v>77010</v>
      </c>
      <c r="H83">
        <v>8.86</v>
      </c>
      <c r="I83">
        <v>79240.25</v>
      </c>
    </row>
    <row r="84" spans="1:9" x14ac:dyDescent="0.3">
      <c r="A84" t="s">
        <v>45</v>
      </c>
      <c r="B84" s="7">
        <v>45444</v>
      </c>
      <c r="C84">
        <v>6888622</v>
      </c>
      <c r="D84">
        <v>5477604</v>
      </c>
      <c r="E84">
        <v>60737</v>
      </c>
      <c r="F84">
        <v>160807</v>
      </c>
      <c r="G84">
        <v>1189474</v>
      </c>
      <c r="H84">
        <v>20.48</v>
      </c>
      <c r="I84">
        <v>208156.48</v>
      </c>
    </row>
    <row r="85" spans="1:9" x14ac:dyDescent="0.3">
      <c r="A85" t="s">
        <v>46</v>
      </c>
      <c r="B85" s="7">
        <v>45444</v>
      </c>
      <c r="C85">
        <v>5055666</v>
      </c>
      <c r="D85">
        <v>4156001</v>
      </c>
      <c r="E85">
        <v>75121</v>
      </c>
      <c r="F85">
        <v>220810</v>
      </c>
      <c r="G85">
        <v>603734</v>
      </c>
      <c r="H85">
        <v>17.8</v>
      </c>
      <c r="I85">
        <v>155380.72</v>
      </c>
    </row>
    <row r="86" spans="1:9" x14ac:dyDescent="0.3">
      <c r="A86" t="s">
        <v>47</v>
      </c>
      <c r="B86" s="7">
        <v>45444</v>
      </c>
      <c r="C86">
        <v>4486972</v>
      </c>
      <c r="D86">
        <v>3942057</v>
      </c>
      <c r="E86">
        <v>111881</v>
      </c>
      <c r="F86">
        <v>153419</v>
      </c>
      <c r="G86">
        <v>279615</v>
      </c>
      <c r="H86">
        <v>12.14</v>
      </c>
      <c r="I86">
        <v>146220.92000000001</v>
      </c>
    </row>
    <row r="87" spans="1:9" x14ac:dyDescent="0.3">
      <c r="A87" t="s">
        <v>48</v>
      </c>
      <c r="B87" s="7">
        <v>45444</v>
      </c>
      <c r="C87">
        <v>14760014</v>
      </c>
      <c r="D87">
        <v>10220099</v>
      </c>
      <c r="E87">
        <v>111164</v>
      </c>
      <c r="F87">
        <v>416557</v>
      </c>
      <c r="G87">
        <v>4012194</v>
      </c>
      <c r="H87">
        <v>30.76</v>
      </c>
      <c r="I87">
        <v>206174.32</v>
      </c>
    </row>
    <row r="88" spans="1:9" x14ac:dyDescent="0.3">
      <c r="A88" t="s">
        <v>49</v>
      </c>
      <c r="B88" s="7">
        <v>45444</v>
      </c>
      <c r="C88">
        <v>7064585</v>
      </c>
      <c r="D88">
        <v>4779323</v>
      </c>
      <c r="E88">
        <v>188783</v>
      </c>
      <c r="F88">
        <v>179266</v>
      </c>
      <c r="G88">
        <v>1917213</v>
      </c>
      <c r="H88">
        <v>32.35</v>
      </c>
      <c r="I88">
        <v>196751.91</v>
      </c>
    </row>
    <row r="89" spans="1:9" x14ac:dyDescent="0.3">
      <c r="A89" t="s">
        <v>50</v>
      </c>
      <c r="B89" s="7">
        <v>45444</v>
      </c>
      <c r="C89">
        <v>9349954</v>
      </c>
      <c r="D89">
        <v>6323867</v>
      </c>
      <c r="E89">
        <v>76656</v>
      </c>
      <c r="F89">
        <v>283734</v>
      </c>
      <c r="G89">
        <v>2665697</v>
      </c>
      <c r="H89">
        <v>32.36</v>
      </c>
      <c r="I89">
        <v>122046.25</v>
      </c>
    </row>
    <row r="90" spans="1:9" x14ac:dyDescent="0.3">
      <c r="A90" t="s">
        <v>52</v>
      </c>
      <c r="B90" s="7">
        <v>45444</v>
      </c>
      <c r="C90">
        <v>3932374</v>
      </c>
      <c r="D90">
        <v>2768125</v>
      </c>
      <c r="E90">
        <v>45516</v>
      </c>
      <c r="F90">
        <v>160935</v>
      </c>
      <c r="G90">
        <v>957798</v>
      </c>
      <c r="H90">
        <v>29.61</v>
      </c>
      <c r="I90">
        <v>109302.08</v>
      </c>
    </row>
    <row r="91" spans="1:9" x14ac:dyDescent="0.3">
      <c r="A91" t="s">
        <v>53</v>
      </c>
      <c r="B91" s="7">
        <v>45444</v>
      </c>
      <c r="C91">
        <v>3319992</v>
      </c>
      <c r="D91">
        <v>2239473</v>
      </c>
      <c r="E91">
        <v>66748</v>
      </c>
      <c r="F91">
        <v>148611</v>
      </c>
      <c r="G91">
        <v>865160</v>
      </c>
      <c r="H91">
        <v>32.549999999999997</v>
      </c>
      <c r="I91">
        <v>79240.25</v>
      </c>
    </row>
    <row r="92" spans="1:9" x14ac:dyDescent="0.3">
      <c r="A92" t="s">
        <v>38</v>
      </c>
      <c r="B92" s="7">
        <v>45474</v>
      </c>
      <c r="C92">
        <v>16224027</v>
      </c>
      <c r="D92">
        <v>11668967</v>
      </c>
      <c r="E92">
        <v>275435</v>
      </c>
      <c r="F92">
        <v>455614</v>
      </c>
      <c r="G92">
        <v>3824011</v>
      </c>
      <c r="H92">
        <v>28.08</v>
      </c>
      <c r="I92">
        <v>395412.36</v>
      </c>
    </row>
    <row r="93" spans="1:9" x14ac:dyDescent="0.3">
      <c r="A93" t="s">
        <v>39</v>
      </c>
      <c r="B93" s="7">
        <v>45474</v>
      </c>
      <c r="C93">
        <v>16224027</v>
      </c>
      <c r="D93">
        <v>12824967</v>
      </c>
      <c r="E93">
        <v>128267</v>
      </c>
      <c r="F93">
        <v>457778</v>
      </c>
      <c r="G93">
        <v>2813015</v>
      </c>
      <c r="H93">
        <v>20.95</v>
      </c>
      <c r="I93">
        <v>395412.36</v>
      </c>
    </row>
    <row r="94" spans="1:9" x14ac:dyDescent="0.3">
      <c r="A94" t="s">
        <v>40</v>
      </c>
      <c r="B94" s="7">
        <v>45474</v>
      </c>
      <c r="C94">
        <v>7951537</v>
      </c>
      <c r="D94">
        <v>6614815</v>
      </c>
      <c r="E94">
        <v>159611</v>
      </c>
      <c r="F94">
        <v>436895</v>
      </c>
      <c r="G94">
        <v>740216</v>
      </c>
      <c r="H94">
        <v>16.809999999999999</v>
      </c>
      <c r="I94">
        <v>148481.10999999999</v>
      </c>
    </row>
    <row r="95" spans="1:9" x14ac:dyDescent="0.3">
      <c r="A95" t="s">
        <v>41</v>
      </c>
      <c r="B95" s="7">
        <v>45474</v>
      </c>
      <c r="C95">
        <v>9658477</v>
      </c>
      <c r="D95">
        <v>8817578</v>
      </c>
      <c r="E95">
        <v>264350</v>
      </c>
      <c r="F95">
        <v>548273</v>
      </c>
      <c r="G95">
        <v>28276</v>
      </c>
      <c r="H95">
        <v>8.7100000000000009</v>
      </c>
      <c r="I95">
        <v>310570.8</v>
      </c>
    </row>
    <row r="96" spans="1:9" x14ac:dyDescent="0.3">
      <c r="A96" t="s">
        <v>42</v>
      </c>
      <c r="B96" s="7">
        <v>45474</v>
      </c>
      <c r="C96">
        <v>8090530</v>
      </c>
      <c r="D96">
        <v>7294892</v>
      </c>
      <c r="E96">
        <v>80864</v>
      </c>
      <c r="F96">
        <v>484546</v>
      </c>
      <c r="G96">
        <v>230228</v>
      </c>
      <c r="H96">
        <v>9.83</v>
      </c>
      <c r="I96">
        <v>202693.99</v>
      </c>
    </row>
    <row r="97" spans="1:9" x14ac:dyDescent="0.3">
      <c r="A97" t="s">
        <v>43</v>
      </c>
      <c r="B97" s="7">
        <v>45474</v>
      </c>
      <c r="C97">
        <v>5772613</v>
      </c>
      <c r="D97">
        <v>4124039</v>
      </c>
      <c r="E97">
        <v>45740</v>
      </c>
      <c r="F97">
        <v>201650</v>
      </c>
      <c r="G97">
        <v>1401184</v>
      </c>
      <c r="H97">
        <v>28.56</v>
      </c>
      <c r="I97">
        <v>210171.78</v>
      </c>
    </row>
    <row r="98" spans="1:9" x14ac:dyDescent="0.3">
      <c r="A98" t="s">
        <v>44</v>
      </c>
      <c r="B98" s="7">
        <v>45474</v>
      </c>
      <c r="C98">
        <v>3714813</v>
      </c>
      <c r="D98">
        <v>2963580</v>
      </c>
      <c r="E98">
        <v>30702</v>
      </c>
      <c r="F98">
        <v>200959</v>
      </c>
      <c r="G98">
        <v>519572</v>
      </c>
      <c r="H98">
        <v>20.22</v>
      </c>
      <c r="I98">
        <v>64202.01</v>
      </c>
    </row>
    <row r="99" spans="1:9" x14ac:dyDescent="0.3">
      <c r="A99" t="s">
        <v>45</v>
      </c>
      <c r="B99" s="7">
        <v>45474</v>
      </c>
      <c r="C99">
        <v>9658477</v>
      </c>
      <c r="D99">
        <v>6683200</v>
      </c>
      <c r="E99">
        <v>127190</v>
      </c>
      <c r="F99">
        <v>419733</v>
      </c>
      <c r="G99">
        <v>2428354</v>
      </c>
      <c r="H99">
        <v>30.8</v>
      </c>
      <c r="I99">
        <v>310570.8</v>
      </c>
    </row>
    <row r="100" spans="1:9" x14ac:dyDescent="0.3">
      <c r="A100" t="s">
        <v>46</v>
      </c>
      <c r="B100" s="7">
        <v>45474</v>
      </c>
      <c r="C100">
        <v>4293780</v>
      </c>
      <c r="D100">
        <v>3065451</v>
      </c>
      <c r="E100">
        <v>49484</v>
      </c>
      <c r="F100">
        <v>139978</v>
      </c>
      <c r="G100">
        <v>1038867</v>
      </c>
      <c r="H100">
        <v>28.61</v>
      </c>
      <c r="I100">
        <v>102696.36</v>
      </c>
    </row>
    <row r="101" spans="1:9" x14ac:dyDescent="0.3">
      <c r="A101" t="s">
        <v>47</v>
      </c>
      <c r="B101" s="7">
        <v>45474</v>
      </c>
      <c r="C101">
        <v>2897047</v>
      </c>
      <c r="D101">
        <v>2068111</v>
      </c>
      <c r="E101">
        <v>37517</v>
      </c>
      <c r="F101">
        <v>143473</v>
      </c>
      <c r="G101">
        <v>647946</v>
      </c>
      <c r="H101">
        <v>28.61</v>
      </c>
      <c r="I101">
        <v>65739.67</v>
      </c>
    </row>
    <row r="102" spans="1:9" x14ac:dyDescent="0.3">
      <c r="A102" t="s">
        <v>48</v>
      </c>
      <c r="B102" s="7">
        <v>45474</v>
      </c>
      <c r="C102">
        <v>16224027</v>
      </c>
      <c r="D102">
        <v>13708496</v>
      </c>
      <c r="E102">
        <v>377198</v>
      </c>
      <c r="F102">
        <v>496627</v>
      </c>
      <c r="G102">
        <v>1641706</v>
      </c>
      <c r="H102">
        <v>15.5</v>
      </c>
      <c r="I102">
        <v>395412.36</v>
      </c>
    </row>
    <row r="103" spans="1:9" x14ac:dyDescent="0.3">
      <c r="A103" t="s">
        <v>49</v>
      </c>
      <c r="B103" s="7">
        <v>45474</v>
      </c>
      <c r="C103">
        <v>8090530</v>
      </c>
      <c r="D103">
        <v>7062808</v>
      </c>
      <c r="E103">
        <v>94946</v>
      </c>
      <c r="F103">
        <v>296687</v>
      </c>
      <c r="G103">
        <v>636089</v>
      </c>
      <c r="H103">
        <v>12.7</v>
      </c>
      <c r="I103">
        <v>202693.99</v>
      </c>
    </row>
    <row r="104" spans="1:9" x14ac:dyDescent="0.3">
      <c r="A104" t="s">
        <v>50</v>
      </c>
      <c r="B104" s="7">
        <v>45474</v>
      </c>
      <c r="C104">
        <v>7951537</v>
      </c>
      <c r="D104">
        <v>7201463</v>
      </c>
      <c r="E104">
        <v>218585</v>
      </c>
      <c r="F104">
        <v>367181</v>
      </c>
      <c r="G104">
        <v>164308</v>
      </c>
      <c r="H104">
        <v>9.43</v>
      </c>
      <c r="I104">
        <v>148481.10999999999</v>
      </c>
    </row>
    <row r="105" spans="1:9" x14ac:dyDescent="0.3">
      <c r="A105" t="s">
        <v>52</v>
      </c>
      <c r="B105" s="7">
        <v>45474</v>
      </c>
      <c r="C105">
        <v>5772613</v>
      </c>
      <c r="D105">
        <v>4212534</v>
      </c>
      <c r="E105">
        <v>34549</v>
      </c>
      <c r="F105">
        <v>230062</v>
      </c>
      <c r="G105">
        <v>1295468</v>
      </c>
      <c r="H105">
        <v>27.03</v>
      </c>
      <c r="I105">
        <v>210171.78</v>
      </c>
    </row>
    <row r="106" spans="1:9" x14ac:dyDescent="0.3">
      <c r="A106" t="s">
        <v>53</v>
      </c>
      <c r="B106" s="7">
        <v>45474</v>
      </c>
      <c r="C106">
        <v>3714813</v>
      </c>
      <c r="D106">
        <v>2622100</v>
      </c>
      <c r="E106">
        <v>80934</v>
      </c>
      <c r="F106">
        <v>215511</v>
      </c>
      <c r="G106">
        <v>796268</v>
      </c>
      <c r="H106">
        <v>29.42</v>
      </c>
      <c r="I106">
        <v>64202.01</v>
      </c>
    </row>
    <row r="107" spans="1:9" x14ac:dyDescent="0.3">
      <c r="A107" t="s">
        <v>38</v>
      </c>
      <c r="B107" s="7">
        <v>45505</v>
      </c>
      <c r="C107">
        <v>9356483</v>
      </c>
      <c r="D107">
        <v>6767897</v>
      </c>
      <c r="E107">
        <v>72331</v>
      </c>
      <c r="F107">
        <v>464415</v>
      </c>
      <c r="G107">
        <v>2051840</v>
      </c>
      <c r="H107">
        <v>27.67</v>
      </c>
      <c r="I107">
        <v>338980.23</v>
      </c>
    </row>
    <row r="108" spans="1:9" x14ac:dyDescent="0.3">
      <c r="A108" t="s">
        <v>39</v>
      </c>
      <c r="B108" s="7">
        <v>45505</v>
      </c>
      <c r="C108">
        <v>9356483</v>
      </c>
      <c r="D108">
        <v>7207114</v>
      </c>
      <c r="E108">
        <v>59796</v>
      </c>
      <c r="F108">
        <v>236511</v>
      </c>
      <c r="G108">
        <v>1853062</v>
      </c>
      <c r="H108">
        <v>22.97</v>
      </c>
      <c r="I108">
        <v>338980.23</v>
      </c>
    </row>
    <row r="109" spans="1:9" x14ac:dyDescent="0.3">
      <c r="A109" t="s">
        <v>40</v>
      </c>
      <c r="B109" s="7">
        <v>45505</v>
      </c>
      <c r="C109">
        <v>11830313</v>
      </c>
      <c r="D109">
        <v>10003268</v>
      </c>
      <c r="E109">
        <v>224435</v>
      </c>
      <c r="F109">
        <v>463461</v>
      </c>
      <c r="G109">
        <v>1139149</v>
      </c>
      <c r="H109">
        <v>15.44</v>
      </c>
      <c r="I109">
        <v>165403.70000000001</v>
      </c>
    </row>
    <row r="110" spans="1:9" x14ac:dyDescent="0.3">
      <c r="A110" t="s">
        <v>41</v>
      </c>
      <c r="B110" s="7">
        <v>45505</v>
      </c>
      <c r="C110">
        <v>8128643</v>
      </c>
      <c r="D110">
        <v>6327214</v>
      </c>
      <c r="E110">
        <v>50105</v>
      </c>
      <c r="F110">
        <v>186746</v>
      </c>
      <c r="G110">
        <v>1564578</v>
      </c>
      <c r="H110">
        <v>22.16</v>
      </c>
      <c r="I110">
        <v>241996.51</v>
      </c>
    </row>
    <row r="111" spans="1:9" x14ac:dyDescent="0.3">
      <c r="A111" t="s">
        <v>42</v>
      </c>
      <c r="B111" s="7">
        <v>45505</v>
      </c>
      <c r="C111">
        <v>4888148</v>
      </c>
      <c r="D111">
        <v>3212820</v>
      </c>
      <c r="E111">
        <v>113308</v>
      </c>
      <c r="F111">
        <v>282138</v>
      </c>
      <c r="G111">
        <v>1279882</v>
      </c>
      <c r="H111">
        <v>34.270000000000003</v>
      </c>
      <c r="I111">
        <v>95700.73</v>
      </c>
    </row>
    <row r="112" spans="1:9" x14ac:dyDescent="0.3">
      <c r="A112" t="s">
        <v>43</v>
      </c>
      <c r="B112" s="7">
        <v>45505</v>
      </c>
      <c r="C112">
        <v>5726243</v>
      </c>
      <c r="D112">
        <v>4644183</v>
      </c>
      <c r="E112">
        <v>110918</v>
      </c>
      <c r="F112">
        <v>211421</v>
      </c>
      <c r="G112">
        <v>759721</v>
      </c>
      <c r="H112">
        <v>18.899999999999999</v>
      </c>
      <c r="I112">
        <v>188452.79</v>
      </c>
    </row>
    <row r="113" spans="1:9" x14ac:dyDescent="0.3">
      <c r="A113" t="s">
        <v>44</v>
      </c>
      <c r="B113" s="7">
        <v>45505</v>
      </c>
      <c r="C113">
        <v>3024471</v>
      </c>
      <c r="D113">
        <v>2005437</v>
      </c>
      <c r="E113">
        <v>22651</v>
      </c>
      <c r="F113">
        <v>155323</v>
      </c>
      <c r="G113">
        <v>841060</v>
      </c>
      <c r="H113">
        <v>33.69</v>
      </c>
      <c r="I113">
        <v>44451.199999999997</v>
      </c>
    </row>
    <row r="114" spans="1:9" x14ac:dyDescent="0.3">
      <c r="A114" t="s">
        <v>45</v>
      </c>
      <c r="B114" s="7">
        <v>45505</v>
      </c>
      <c r="C114">
        <v>8128643</v>
      </c>
      <c r="D114">
        <v>6695170</v>
      </c>
      <c r="E114">
        <v>103674</v>
      </c>
      <c r="F114">
        <v>304819</v>
      </c>
      <c r="G114">
        <v>1024980</v>
      </c>
      <c r="H114">
        <v>17.63</v>
      </c>
      <c r="I114">
        <v>241996.51</v>
      </c>
    </row>
    <row r="115" spans="1:9" x14ac:dyDescent="0.3">
      <c r="A115" t="s">
        <v>46</v>
      </c>
      <c r="B115" s="7">
        <v>45505</v>
      </c>
      <c r="C115">
        <v>6452566</v>
      </c>
      <c r="D115">
        <v>5475294</v>
      </c>
      <c r="E115">
        <v>83570</v>
      </c>
      <c r="F115">
        <v>199243</v>
      </c>
      <c r="G115">
        <v>694459</v>
      </c>
      <c r="H115">
        <v>15.15</v>
      </c>
      <c r="I115">
        <v>146229.45000000001</v>
      </c>
    </row>
    <row r="116" spans="1:9" x14ac:dyDescent="0.3">
      <c r="A116" t="s">
        <v>47</v>
      </c>
      <c r="B116" s="7">
        <v>45505</v>
      </c>
      <c r="C116">
        <v>3845154</v>
      </c>
      <c r="D116">
        <v>3229668</v>
      </c>
      <c r="E116">
        <v>53032</v>
      </c>
      <c r="F116">
        <v>164211</v>
      </c>
      <c r="G116">
        <v>398243</v>
      </c>
      <c r="H116">
        <v>16.010000000000002</v>
      </c>
      <c r="I116">
        <v>97038.97</v>
      </c>
    </row>
    <row r="117" spans="1:9" x14ac:dyDescent="0.3">
      <c r="A117" t="s">
        <v>48</v>
      </c>
      <c r="B117" s="7">
        <v>45505</v>
      </c>
      <c r="C117">
        <v>9356483</v>
      </c>
      <c r="D117">
        <v>6207105</v>
      </c>
      <c r="E117">
        <v>180526</v>
      </c>
      <c r="F117">
        <v>501453</v>
      </c>
      <c r="G117">
        <v>2467399</v>
      </c>
      <c r="H117">
        <v>33.659999999999997</v>
      </c>
      <c r="I117">
        <v>338980.23</v>
      </c>
    </row>
    <row r="118" spans="1:9" x14ac:dyDescent="0.3">
      <c r="A118" t="s">
        <v>49</v>
      </c>
      <c r="B118" s="7">
        <v>45505</v>
      </c>
      <c r="C118">
        <v>4888148</v>
      </c>
      <c r="D118">
        <v>3456289</v>
      </c>
      <c r="E118">
        <v>125132</v>
      </c>
      <c r="F118">
        <v>242636</v>
      </c>
      <c r="G118">
        <v>1064091</v>
      </c>
      <c r="H118">
        <v>29.29</v>
      </c>
      <c r="I118">
        <v>95700.73</v>
      </c>
    </row>
    <row r="119" spans="1:9" x14ac:dyDescent="0.3">
      <c r="A119" t="s">
        <v>50</v>
      </c>
      <c r="B119" s="7">
        <v>45505</v>
      </c>
      <c r="C119">
        <v>11830313</v>
      </c>
      <c r="D119">
        <v>10473218</v>
      </c>
      <c r="E119">
        <v>183509</v>
      </c>
      <c r="F119">
        <v>656271</v>
      </c>
      <c r="G119">
        <v>517315</v>
      </c>
      <c r="H119">
        <v>11.47</v>
      </c>
      <c r="I119">
        <v>165403.70000000001</v>
      </c>
    </row>
    <row r="120" spans="1:9" x14ac:dyDescent="0.3">
      <c r="A120" t="s">
        <v>52</v>
      </c>
      <c r="B120" s="7">
        <v>45505</v>
      </c>
      <c r="C120">
        <v>5726243</v>
      </c>
      <c r="D120">
        <v>4084623</v>
      </c>
      <c r="E120">
        <v>30456</v>
      </c>
      <c r="F120">
        <v>134910</v>
      </c>
      <c r="G120">
        <v>1476254</v>
      </c>
      <c r="H120">
        <v>28.67</v>
      </c>
      <c r="I120">
        <v>188452.79</v>
      </c>
    </row>
    <row r="121" spans="1:9" x14ac:dyDescent="0.3">
      <c r="A121" t="s">
        <v>53</v>
      </c>
      <c r="B121" s="7">
        <v>45505</v>
      </c>
      <c r="C121">
        <v>3024471</v>
      </c>
      <c r="D121">
        <v>2147942</v>
      </c>
      <c r="E121">
        <v>49484</v>
      </c>
      <c r="F121">
        <v>128255</v>
      </c>
      <c r="G121">
        <v>698790</v>
      </c>
      <c r="H121">
        <v>28.98</v>
      </c>
      <c r="I121">
        <v>44451.199999999997</v>
      </c>
    </row>
    <row r="122" spans="1:9" x14ac:dyDescent="0.3">
      <c r="A122" t="s">
        <v>38</v>
      </c>
      <c r="B122" s="7">
        <v>45536</v>
      </c>
      <c r="C122">
        <v>14029912</v>
      </c>
      <c r="D122">
        <v>12548349</v>
      </c>
      <c r="E122">
        <v>149303</v>
      </c>
      <c r="F122">
        <v>411265</v>
      </c>
      <c r="G122">
        <v>920995</v>
      </c>
      <c r="H122">
        <v>10.56</v>
      </c>
      <c r="I122">
        <v>528430.74</v>
      </c>
    </row>
    <row r="123" spans="1:9" x14ac:dyDescent="0.3">
      <c r="A123" t="s">
        <v>39</v>
      </c>
      <c r="B123" s="7">
        <v>45536</v>
      </c>
      <c r="C123">
        <v>14029912</v>
      </c>
      <c r="D123">
        <v>11236209</v>
      </c>
      <c r="E123">
        <v>306121</v>
      </c>
      <c r="F123">
        <v>453541</v>
      </c>
      <c r="G123">
        <v>2034041</v>
      </c>
      <c r="H123">
        <v>19.91</v>
      </c>
      <c r="I123">
        <v>528430.74</v>
      </c>
    </row>
    <row r="124" spans="1:9" x14ac:dyDescent="0.3">
      <c r="A124" t="s">
        <v>40</v>
      </c>
      <c r="B124" s="7">
        <v>45536</v>
      </c>
      <c r="C124">
        <v>11681016</v>
      </c>
      <c r="D124">
        <v>10610980</v>
      </c>
      <c r="E124">
        <v>62882</v>
      </c>
      <c r="F124">
        <v>671499</v>
      </c>
      <c r="G124">
        <v>335655</v>
      </c>
      <c r="H124">
        <v>9.16</v>
      </c>
      <c r="I124">
        <v>301056.90999999997</v>
      </c>
    </row>
    <row r="125" spans="1:9" x14ac:dyDescent="0.3">
      <c r="A125" t="s">
        <v>41</v>
      </c>
      <c r="B125" s="7">
        <v>45536</v>
      </c>
      <c r="C125">
        <v>8245930</v>
      </c>
      <c r="D125">
        <v>6825069</v>
      </c>
      <c r="E125">
        <v>78203</v>
      </c>
      <c r="F125">
        <v>445421</v>
      </c>
      <c r="G125">
        <v>897237</v>
      </c>
      <c r="H125">
        <v>17.23</v>
      </c>
      <c r="I125">
        <v>144270.41</v>
      </c>
    </row>
    <row r="126" spans="1:9" x14ac:dyDescent="0.3">
      <c r="A126" t="s">
        <v>42</v>
      </c>
      <c r="B126" s="7">
        <v>45536</v>
      </c>
      <c r="C126">
        <v>5687805</v>
      </c>
      <c r="D126">
        <v>4973678</v>
      </c>
      <c r="E126">
        <v>38273</v>
      </c>
      <c r="F126">
        <v>306638</v>
      </c>
      <c r="G126">
        <v>369216</v>
      </c>
      <c r="H126">
        <v>12.56</v>
      </c>
      <c r="I126">
        <v>79652.72</v>
      </c>
    </row>
    <row r="127" spans="1:9" x14ac:dyDescent="0.3">
      <c r="A127" t="s">
        <v>43</v>
      </c>
      <c r="B127" s="7">
        <v>45536</v>
      </c>
      <c r="C127">
        <v>4462063</v>
      </c>
      <c r="D127">
        <v>4007706</v>
      </c>
      <c r="E127">
        <v>126130</v>
      </c>
      <c r="F127">
        <v>120160</v>
      </c>
      <c r="G127">
        <v>208067</v>
      </c>
      <c r="H127">
        <v>10.18</v>
      </c>
      <c r="I127">
        <v>77387.38</v>
      </c>
    </row>
    <row r="128" spans="1:9" x14ac:dyDescent="0.3">
      <c r="A128" t="s">
        <v>44</v>
      </c>
      <c r="B128" s="7">
        <v>45536</v>
      </c>
      <c r="C128">
        <v>3562593</v>
      </c>
      <c r="D128">
        <v>2467649</v>
      </c>
      <c r="E128">
        <v>58472</v>
      </c>
      <c r="F128">
        <v>212592</v>
      </c>
      <c r="G128">
        <v>823880</v>
      </c>
      <c r="H128">
        <v>30.73</v>
      </c>
      <c r="I128">
        <v>54966.71</v>
      </c>
    </row>
    <row r="129" spans="1:9" x14ac:dyDescent="0.3">
      <c r="A129" t="s">
        <v>45</v>
      </c>
      <c r="B129" s="7">
        <v>45536</v>
      </c>
      <c r="C129">
        <v>8245930</v>
      </c>
      <c r="D129">
        <v>5904164</v>
      </c>
      <c r="E129">
        <v>231840</v>
      </c>
      <c r="F129">
        <v>203175</v>
      </c>
      <c r="G129">
        <v>1906751</v>
      </c>
      <c r="H129">
        <v>28.4</v>
      </c>
      <c r="I129">
        <v>144270.41</v>
      </c>
    </row>
    <row r="130" spans="1:9" x14ac:dyDescent="0.3">
      <c r="A130" t="s">
        <v>46</v>
      </c>
      <c r="B130" s="7">
        <v>45536</v>
      </c>
      <c r="C130">
        <v>4180270</v>
      </c>
      <c r="D130">
        <v>3597469</v>
      </c>
      <c r="E130">
        <v>82007</v>
      </c>
      <c r="F130">
        <v>109591</v>
      </c>
      <c r="G130">
        <v>391203</v>
      </c>
      <c r="H130">
        <v>13.94</v>
      </c>
      <c r="I130">
        <v>95645.36</v>
      </c>
    </row>
    <row r="131" spans="1:9" x14ac:dyDescent="0.3">
      <c r="A131" t="s">
        <v>47</v>
      </c>
      <c r="B131" s="7">
        <v>45536</v>
      </c>
      <c r="C131">
        <v>3937362</v>
      </c>
      <c r="D131">
        <v>3609622</v>
      </c>
      <c r="E131">
        <v>106468</v>
      </c>
      <c r="F131">
        <v>156270</v>
      </c>
      <c r="G131">
        <v>65002</v>
      </c>
      <c r="H131">
        <v>8.32</v>
      </c>
      <c r="I131">
        <v>46502.239999999998</v>
      </c>
    </row>
    <row r="132" spans="1:9" x14ac:dyDescent="0.3">
      <c r="A132" t="s">
        <v>48</v>
      </c>
      <c r="B132" s="7">
        <v>45536</v>
      </c>
      <c r="C132">
        <v>14029912</v>
      </c>
      <c r="D132">
        <v>10739246</v>
      </c>
      <c r="E132">
        <v>173462</v>
      </c>
      <c r="F132">
        <v>652121</v>
      </c>
      <c r="G132">
        <v>2465083</v>
      </c>
      <c r="H132">
        <v>23.45</v>
      </c>
      <c r="I132">
        <v>528430.74</v>
      </c>
    </row>
    <row r="133" spans="1:9" x14ac:dyDescent="0.3">
      <c r="A133" t="s">
        <v>49</v>
      </c>
      <c r="B133" s="7">
        <v>45536</v>
      </c>
      <c r="C133">
        <v>5687805</v>
      </c>
      <c r="D133">
        <v>3783388</v>
      </c>
      <c r="E133">
        <v>140985</v>
      </c>
      <c r="F133">
        <v>128684</v>
      </c>
      <c r="G133">
        <v>1634748</v>
      </c>
      <c r="H133">
        <v>33.479999999999997</v>
      </c>
      <c r="I133">
        <v>79652.72</v>
      </c>
    </row>
    <row r="134" spans="1:9" x14ac:dyDescent="0.3">
      <c r="A134" t="s">
        <v>50</v>
      </c>
      <c r="B134" s="7">
        <v>45536</v>
      </c>
      <c r="C134">
        <v>11681016</v>
      </c>
      <c r="D134">
        <v>9055303</v>
      </c>
      <c r="E134">
        <v>92800</v>
      </c>
      <c r="F134">
        <v>258700</v>
      </c>
      <c r="G134">
        <v>2274213</v>
      </c>
      <c r="H134">
        <v>22.48</v>
      </c>
      <c r="I134">
        <v>301056.90999999997</v>
      </c>
    </row>
    <row r="135" spans="1:9" x14ac:dyDescent="0.3">
      <c r="A135" t="s">
        <v>52</v>
      </c>
      <c r="B135" s="7">
        <v>45536</v>
      </c>
      <c r="C135">
        <v>4462063</v>
      </c>
      <c r="D135">
        <v>3495616</v>
      </c>
      <c r="E135">
        <v>128222</v>
      </c>
      <c r="F135">
        <v>228373</v>
      </c>
      <c r="G135">
        <v>609852</v>
      </c>
      <c r="H135">
        <v>21.66</v>
      </c>
      <c r="I135">
        <v>77387.38</v>
      </c>
    </row>
    <row r="136" spans="1:9" x14ac:dyDescent="0.3">
      <c r="A136" t="s">
        <v>53</v>
      </c>
      <c r="B136" s="7">
        <v>45536</v>
      </c>
      <c r="C136">
        <v>3562593</v>
      </c>
      <c r="D136">
        <v>2947814</v>
      </c>
      <c r="E136">
        <v>81575</v>
      </c>
      <c r="F136">
        <v>87500</v>
      </c>
      <c r="G136">
        <v>445704</v>
      </c>
      <c r="H136">
        <v>17.260000000000002</v>
      </c>
      <c r="I136">
        <v>54966.71</v>
      </c>
    </row>
    <row r="137" spans="1:9" x14ac:dyDescent="0.3">
      <c r="A137" t="s">
        <v>38</v>
      </c>
      <c r="B137" s="7">
        <v>45566</v>
      </c>
      <c r="C137">
        <v>13534278</v>
      </c>
      <c r="D137">
        <v>10523565</v>
      </c>
      <c r="E137">
        <v>298157</v>
      </c>
      <c r="F137">
        <v>345106</v>
      </c>
      <c r="G137">
        <v>2367450</v>
      </c>
      <c r="H137">
        <v>22.25</v>
      </c>
      <c r="I137">
        <v>295901.18</v>
      </c>
    </row>
    <row r="138" spans="1:9" x14ac:dyDescent="0.3">
      <c r="A138" t="s">
        <v>39</v>
      </c>
      <c r="B138" s="7">
        <v>45566</v>
      </c>
      <c r="C138">
        <v>13534278</v>
      </c>
      <c r="D138">
        <v>8808300</v>
      </c>
      <c r="E138">
        <v>141399</v>
      </c>
      <c r="F138">
        <v>310221</v>
      </c>
      <c r="G138">
        <v>4274358</v>
      </c>
      <c r="H138">
        <v>34.92</v>
      </c>
      <c r="I138">
        <v>295901.18</v>
      </c>
    </row>
    <row r="139" spans="1:9" x14ac:dyDescent="0.3">
      <c r="A139" t="s">
        <v>40</v>
      </c>
      <c r="B139" s="7">
        <v>45566</v>
      </c>
      <c r="C139">
        <v>9273362</v>
      </c>
      <c r="D139">
        <v>8530421</v>
      </c>
      <c r="E139">
        <v>157396</v>
      </c>
      <c r="F139">
        <v>275453</v>
      </c>
      <c r="G139">
        <v>310092</v>
      </c>
      <c r="H139">
        <v>8.01</v>
      </c>
      <c r="I139">
        <v>182019.94</v>
      </c>
    </row>
    <row r="140" spans="1:9" x14ac:dyDescent="0.3">
      <c r="A140" t="s">
        <v>41</v>
      </c>
      <c r="B140" s="7">
        <v>45566</v>
      </c>
      <c r="C140">
        <v>7950053</v>
      </c>
      <c r="D140">
        <v>5477043</v>
      </c>
      <c r="E140">
        <v>202863</v>
      </c>
      <c r="F140">
        <v>420049</v>
      </c>
      <c r="G140">
        <v>1850098</v>
      </c>
      <c r="H140">
        <v>31.11</v>
      </c>
      <c r="I140">
        <v>133454.13</v>
      </c>
    </row>
    <row r="141" spans="1:9" x14ac:dyDescent="0.3">
      <c r="A141" t="s">
        <v>42</v>
      </c>
      <c r="B141" s="7">
        <v>45566</v>
      </c>
      <c r="C141">
        <v>7550542</v>
      </c>
      <c r="D141">
        <v>5191589</v>
      </c>
      <c r="E141">
        <v>94916</v>
      </c>
      <c r="F141">
        <v>227326</v>
      </c>
      <c r="G141">
        <v>2036711</v>
      </c>
      <c r="H141">
        <v>31.24</v>
      </c>
      <c r="I141">
        <v>131845.71</v>
      </c>
    </row>
    <row r="142" spans="1:9" x14ac:dyDescent="0.3">
      <c r="A142" t="s">
        <v>43</v>
      </c>
      <c r="B142" s="7">
        <v>45566</v>
      </c>
      <c r="C142">
        <v>3695518</v>
      </c>
      <c r="D142">
        <v>2588771</v>
      </c>
      <c r="E142">
        <v>96266</v>
      </c>
      <c r="F142">
        <v>165471</v>
      </c>
      <c r="G142">
        <v>845010</v>
      </c>
      <c r="H142">
        <v>29.95</v>
      </c>
      <c r="I142">
        <v>72293.89</v>
      </c>
    </row>
    <row r="143" spans="1:9" x14ac:dyDescent="0.3">
      <c r="A143" t="s">
        <v>44</v>
      </c>
      <c r="B143" s="7">
        <v>45566</v>
      </c>
      <c r="C143">
        <v>3476297</v>
      </c>
      <c r="D143">
        <v>3087577</v>
      </c>
      <c r="E143">
        <v>43615</v>
      </c>
      <c r="F143">
        <v>191116</v>
      </c>
      <c r="G143">
        <v>153989</v>
      </c>
      <c r="H143">
        <v>11.18</v>
      </c>
      <c r="I143">
        <v>103048.61</v>
      </c>
    </row>
    <row r="144" spans="1:9" x14ac:dyDescent="0.3">
      <c r="A144" t="s">
        <v>45</v>
      </c>
      <c r="B144" s="7">
        <v>45566</v>
      </c>
      <c r="C144">
        <v>7950053</v>
      </c>
      <c r="D144">
        <v>6597283</v>
      </c>
      <c r="E144">
        <v>170539</v>
      </c>
      <c r="F144">
        <v>214856</v>
      </c>
      <c r="G144">
        <v>967375</v>
      </c>
      <c r="H144">
        <v>17.02</v>
      </c>
      <c r="I144">
        <v>133454.13</v>
      </c>
    </row>
    <row r="145" spans="1:9" x14ac:dyDescent="0.3">
      <c r="A145" t="s">
        <v>46</v>
      </c>
      <c r="B145" s="7">
        <v>45566</v>
      </c>
      <c r="C145">
        <v>6055527</v>
      </c>
      <c r="D145">
        <v>4600737</v>
      </c>
      <c r="E145">
        <v>111410</v>
      </c>
      <c r="F145">
        <v>354765</v>
      </c>
      <c r="G145">
        <v>988615</v>
      </c>
      <c r="H145">
        <v>24.02</v>
      </c>
      <c r="I145">
        <v>128220.66</v>
      </c>
    </row>
    <row r="146" spans="1:9" x14ac:dyDescent="0.3">
      <c r="A146" t="s">
        <v>47</v>
      </c>
      <c r="B146" s="7">
        <v>45566</v>
      </c>
      <c r="C146">
        <v>3957263</v>
      </c>
      <c r="D146">
        <v>2668657</v>
      </c>
      <c r="E146">
        <v>42800</v>
      </c>
      <c r="F146">
        <v>113780</v>
      </c>
      <c r="G146">
        <v>1132026</v>
      </c>
      <c r="H146">
        <v>32.56</v>
      </c>
      <c r="I146">
        <v>64207.92</v>
      </c>
    </row>
    <row r="147" spans="1:9" x14ac:dyDescent="0.3">
      <c r="A147" t="s">
        <v>48</v>
      </c>
      <c r="B147" s="7">
        <v>45566</v>
      </c>
      <c r="C147">
        <v>13534278</v>
      </c>
      <c r="D147">
        <v>8891325</v>
      </c>
      <c r="E147">
        <v>125473</v>
      </c>
      <c r="F147">
        <v>428663</v>
      </c>
      <c r="G147">
        <v>4088817</v>
      </c>
      <c r="H147">
        <v>34.31</v>
      </c>
      <c r="I147">
        <v>295901.18</v>
      </c>
    </row>
    <row r="148" spans="1:9" x14ac:dyDescent="0.3">
      <c r="A148" t="s">
        <v>49</v>
      </c>
      <c r="B148" s="7">
        <v>45566</v>
      </c>
      <c r="C148">
        <v>7550542</v>
      </c>
      <c r="D148">
        <v>6499049</v>
      </c>
      <c r="E148">
        <v>136718</v>
      </c>
      <c r="F148">
        <v>322762</v>
      </c>
      <c r="G148">
        <v>592013</v>
      </c>
      <c r="H148">
        <v>13.93</v>
      </c>
      <c r="I148">
        <v>131845.71</v>
      </c>
    </row>
    <row r="149" spans="1:9" x14ac:dyDescent="0.3">
      <c r="A149" t="s">
        <v>50</v>
      </c>
      <c r="B149" s="7">
        <v>45566</v>
      </c>
      <c r="C149">
        <v>9273362</v>
      </c>
      <c r="D149">
        <v>6205995</v>
      </c>
      <c r="E149">
        <v>252566</v>
      </c>
      <c r="F149">
        <v>371111</v>
      </c>
      <c r="G149">
        <v>2443690</v>
      </c>
      <c r="H149">
        <v>33.08</v>
      </c>
      <c r="I149">
        <v>182019.94</v>
      </c>
    </row>
    <row r="150" spans="1:9" x14ac:dyDescent="0.3">
      <c r="A150" t="s">
        <v>52</v>
      </c>
      <c r="B150" s="7">
        <v>45566</v>
      </c>
      <c r="C150">
        <v>3695518</v>
      </c>
      <c r="D150">
        <v>3304866</v>
      </c>
      <c r="E150">
        <v>78006</v>
      </c>
      <c r="F150">
        <v>141427</v>
      </c>
      <c r="G150">
        <v>171219</v>
      </c>
      <c r="H150">
        <v>10.57</v>
      </c>
      <c r="I150">
        <v>72293.89</v>
      </c>
    </row>
    <row r="151" spans="1:9" x14ac:dyDescent="0.3">
      <c r="A151" t="s">
        <v>53</v>
      </c>
      <c r="B151" s="7">
        <v>45566</v>
      </c>
      <c r="C151">
        <v>3476297</v>
      </c>
      <c r="D151">
        <v>2579990</v>
      </c>
      <c r="E151">
        <v>89504</v>
      </c>
      <c r="F151">
        <v>203632</v>
      </c>
      <c r="G151">
        <v>603171</v>
      </c>
      <c r="H151">
        <v>25.78</v>
      </c>
      <c r="I151">
        <v>103048.61</v>
      </c>
    </row>
    <row r="152" spans="1:9" x14ac:dyDescent="0.3">
      <c r="A152" t="s">
        <v>38</v>
      </c>
      <c r="B152" s="7">
        <v>45597</v>
      </c>
      <c r="C152">
        <v>14100146</v>
      </c>
      <c r="D152">
        <v>11650683</v>
      </c>
      <c r="E152">
        <v>380932</v>
      </c>
      <c r="F152">
        <v>550300</v>
      </c>
      <c r="G152">
        <v>1518231</v>
      </c>
      <c r="H152">
        <v>17.37</v>
      </c>
      <c r="I152">
        <v>453321.81</v>
      </c>
    </row>
    <row r="153" spans="1:9" x14ac:dyDescent="0.3">
      <c r="A153" t="s">
        <v>39</v>
      </c>
      <c r="B153" s="7">
        <v>45597</v>
      </c>
      <c r="C153">
        <v>14100146</v>
      </c>
      <c r="D153">
        <v>11225325</v>
      </c>
      <c r="E153">
        <v>91741</v>
      </c>
      <c r="F153">
        <v>786347</v>
      </c>
      <c r="G153">
        <v>1996733</v>
      </c>
      <c r="H153">
        <v>20.39</v>
      </c>
      <c r="I153">
        <v>453321.81</v>
      </c>
    </row>
    <row r="154" spans="1:9" x14ac:dyDescent="0.3">
      <c r="A154" t="s">
        <v>40</v>
      </c>
      <c r="B154" s="7">
        <v>45597</v>
      </c>
      <c r="C154">
        <v>12532647</v>
      </c>
      <c r="D154">
        <v>11242838</v>
      </c>
      <c r="E154">
        <v>235638</v>
      </c>
      <c r="F154">
        <v>639422</v>
      </c>
      <c r="G154">
        <v>414749</v>
      </c>
      <c r="H154">
        <v>10.29</v>
      </c>
      <c r="I154">
        <v>356982.03</v>
      </c>
    </row>
    <row r="155" spans="1:9" x14ac:dyDescent="0.3">
      <c r="A155" t="s">
        <v>41</v>
      </c>
      <c r="B155" s="7">
        <v>45597</v>
      </c>
      <c r="C155">
        <v>5771618</v>
      </c>
      <c r="D155">
        <v>4630388</v>
      </c>
      <c r="E155">
        <v>110626</v>
      </c>
      <c r="F155">
        <v>311538</v>
      </c>
      <c r="G155">
        <v>719066</v>
      </c>
      <c r="H155">
        <v>19.77</v>
      </c>
      <c r="I155">
        <v>128552.45</v>
      </c>
    </row>
    <row r="156" spans="1:9" x14ac:dyDescent="0.3">
      <c r="A156" t="s">
        <v>42</v>
      </c>
      <c r="B156" s="7">
        <v>45597</v>
      </c>
      <c r="C156">
        <v>6505019</v>
      </c>
      <c r="D156">
        <v>4890392</v>
      </c>
      <c r="E156">
        <v>105554</v>
      </c>
      <c r="F156">
        <v>285683</v>
      </c>
      <c r="G156">
        <v>1223390</v>
      </c>
      <c r="H156">
        <v>24.82</v>
      </c>
      <c r="I156">
        <v>142516.70000000001</v>
      </c>
    </row>
    <row r="157" spans="1:9" x14ac:dyDescent="0.3">
      <c r="A157" t="s">
        <v>43</v>
      </c>
      <c r="B157" s="7">
        <v>45597</v>
      </c>
      <c r="C157">
        <v>5510333</v>
      </c>
      <c r="D157">
        <v>3784851</v>
      </c>
      <c r="E157">
        <v>139854</v>
      </c>
      <c r="F157">
        <v>322647</v>
      </c>
      <c r="G157">
        <v>1262981</v>
      </c>
      <c r="H157">
        <v>31.31</v>
      </c>
      <c r="I157">
        <v>154994.66</v>
      </c>
    </row>
    <row r="158" spans="1:9" x14ac:dyDescent="0.3">
      <c r="A158" t="s">
        <v>44</v>
      </c>
      <c r="B158" s="7">
        <v>45597</v>
      </c>
      <c r="C158">
        <v>3281150</v>
      </c>
      <c r="D158">
        <v>2452060</v>
      </c>
      <c r="E158">
        <v>23166</v>
      </c>
      <c r="F158">
        <v>152837</v>
      </c>
      <c r="G158">
        <v>653087</v>
      </c>
      <c r="H158">
        <v>25.27</v>
      </c>
      <c r="I158">
        <v>79242.52</v>
      </c>
    </row>
    <row r="159" spans="1:9" x14ac:dyDescent="0.3">
      <c r="A159" t="s">
        <v>45</v>
      </c>
      <c r="B159" s="7">
        <v>45597</v>
      </c>
      <c r="C159">
        <v>5771618</v>
      </c>
      <c r="D159">
        <v>3769239</v>
      </c>
      <c r="E159">
        <v>100485</v>
      </c>
      <c r="F159">
        <v>195474</v>
      </c>
      <c r="G159">
        <v>1706420</v>
      </c>
      <c r="H159">
        <v>34.69</v>
      </c>
      <c r="I159">
        <v>128552.45</v>
      </c>
    </row>
    <row r="160" spans="1:9" x14ac:dyDescent="0.3">
      <c r="A160" t="s">
        <v>46</v>
      </c>
      <c r="B160" s="7">
        <v>45597</v>
      </c>
      <c r="C160">
        <v>6429230</v>
      </c>
      <c r="D160">
        <v>4639024</v>
      </c>
      <c r="E160">
        <v>51419</v>
      </c>
      <c r="F160">
        <v>169118</v>
      </c>
      <c r="G160">
        <v>1569669</v>
      </c>
      <c r="H160">
        <v>27.84</v>
      </c>
      <c r="I160">
        <v>135155.37</v>
      </c>
    </row>
    <row r="161" spans="1:9" x14ac:dyDescent="0.3">
      <c r="A161" t="s">
        <v>47</v>
      </c>
      <c r="B161" s="7">
        <v>45597</v>
      </c>
      <c r="C161">
        <v>3712657</v>
      </c>
      <c r="D161">
        <v>3333342</v>
      </c>
      <c r="E161">
        <v>37262</v>
      </c>
      <c r="F161">
        <v>93631</v>
      </c>
      <c r="G161">
        <v>248422</v>
      </c>
      <c r="H161">
        <v>10.220000000000001</v>
      </c>
      <c r="I161">
        <v>40040.559999999998</v>
      </c>
    </row>
    <row r="162" spans="1:9" x14ac:dyDescent="0.3">
      <c r="A162" t="s">
        <v>48</v>
      </c>
      <c r="B162" s="7">
        <v>45597</v>
      </c>
      <c r="C162">
        <v>14100146</v>
      </c>
      <c r="D162">
        <v>12153150</v>
      </c>
      <c r="E162">
        <v>236510</v>
      </c>
      <c r="F162">
        <v>786719</v>
      </c>
      <c r="G162">
        <v>923767</v>
      </c>
      <c r="H162">
        <v>13.81</v>
      </c>
      <c r="I162">
        <v>453321.81</v>
      </c>
    </row>
    <row r="163" spans="1:9" x14ac:dyDescent="0.3">
      <c r="A163" t="s">
        <v>49</v>
      </c>
      <c r="B163" s="7">
        <v>45597</v>
      </c>
      <c r="C163">
        <v>6505019</v>
      </c>
      <c r="D163">
        <v>4329476</v>
      </c>
      <c r="E163">
        <v>37903</v>
      </c>
      <c r="F163">
        <v>143255</v>
      </c>
      <c r="G163">
        <v>1994385</v>
      </c>
      <c r="H163">
        <v>33.44</v>
      </c>
      <c r="I163">
        <v>142516.70000000001</v>
      </c>
    </row>
    <row r="164" spans="1:9" x14ac:dyDescent="0.3">
      <c r="A164" t="s">
        <v>50</v>
      </c>
      <c r="B164" s="7">
        <v>45597</v>
      </c>
      <c r="C164">
        <v>12532647</v>
      </c>
      <c r="D164">
        <v>9155801</v>
      </c>
      <c r="E164">
        <v>79601</v>
      </c>
      <c r="F164">
        <v>678888</v>
      </c>
      <c r="G164">
        <v>2618357</v>
      </c>
      <c r="H164">
        <v>26.94</v>
      </c>
      <c r="I164">
        <v>356982.03</v>
      </c>
    </row>
    <row r="165" spans="1:9" x14ac:dyDescent="0.3">
      <c r="A165" t="s">
        <v>52</v>
      </c>
      <c r="B165" s="7">
        <v>45597</v>
      </c>
      <c r="C165">
        <v>5510333</v>
      </c>
      <c r="D165">
        <v>3656225</v>
      </c>
      <c r="E165">
        <v>139573</v>
      </c>
      <c r="F165">
        <v>302878</v>
      </c>
      <c r="G165">
        <v>1411657</v>
      </c>
      <c r="H165">
        <v>33.65</v>
      </c>
      <c r="I165">
        <v>154994.66</v>
      </c>
    </row>
    <row r="166" spans="1:9" x14ac:dyDescent="0.3">
      <c r="A166" t="s">
        <v>53</v>
      </c>
      <c r="B166" s="7">
        <v>45597</v>
      </c>
      <c r="C166">
        <v>3281150</v>
      </c>
      <c r="D166">
        <v>2754741</v>
      </c>
      <c r="E166">
        <v>20160</v>
      </c>
      <c r="F166">
        <v>87167</v>
      </c>
      <c r="G166">
        <v>419082</v>
      </c>
      <c r="H166">
        <v>16.04</v>
      </c>
      <c r="I166">
        <v>79242.52</v>
      </c>
    </row>
    <row r="167" spans="1:9" x14ac:dyDescent="0.3">
      <c r="A167" t="s">
        <v>38</v>
      </c>
      <c r="B167" s="7">
        <v>45627</v>
      </c>
      <c r="C167">
        <v>15601240</v>
      </c>
      <c r="D167">
        <v>11493671</v>
      </c>
      <c r="E167">
        <v>329926</v>
      </c>
      <c r="F167">
        <v>878622</v>
      </c>
      <c r="G167">
        <v>2899021</v>
      </c>
      <c r="H167">
        <v>26.33</v>
      </c>
      <c r="I167">
        <v>366754.44</v>
      </c>
    </row>
    <row r="168" spans="1:9" x14ac:dyDescent="0.3">
      <c r="A168" t="s">
        <v>39</v>
      </c>
      <c r="B168" s="7">
        <v>45627</v>
      </c>
      <c r="C168">
        <v>15601240</v>
      </c>
      <c r="D168">
        <v>11350128</v>
      </c>
      <c r="E168">
        <v>148204</v>
      </c>
      <c r="F168">
        <v>396539</v>
      </c>
      <c r="G168">
        <v>3706369</v>
      </c>
      <c r="H168">
        <v>27.25</v>
      </c>
      <c r="I168">
        <v>366754.44</v>
      </c>
    </row>
    <row r="169" spans="1:9" x14ac:dyDescent="0.3">
      <c r="A169" t="s">
        <v>40</v>
      </c>
      <c r="B169" s="7">
        <v>45627</v>
      </c>
      <c r="C169">
        <v>8175462</v>
      </c>
      <c r="D169">
        <v>6107070</v>
      </c>
      <c r="E169">
        <v>94336</v>
      </c>
      <c r="F169">
        <v>331209</v>
      </c>
      <c r="G169">
        <v>1642847</v>
      </c>
      <c r="H169">
        <v>25.3</v>
      </c>
      <c r="I169">
        <v>194718.65</v>
      </c>
    </row>
    <row r="170" spans="1:9" x14ac:dyDescent="0.3">
      <c r="A170" t="s">
        <v>41</v>
      </c>
      <c r="B170" s="7">
        <v>45627</v>
      </c>
      <c r="C170">
        <v>7128672</v>
      </c>
      <c r="D170">
        <v>5372441</v>
      </c>
      <c r="E170">
        <v>167478</v>
      </c>
      <c r="F170">
        <v>367981</v>
      </c>
      <c r="G170">
        <v>1220772</v>
      </c>
      <c r="H170">
        <v>24.64</v>
      </c>
      <c r="I170">
        <v>232802.54</v>
      </c>
    </row>
    <row r="171" spans="1:9" x14ac:dyDescent="0.3">
      <c r="A171" t="s">
        <v>42</v>
      </c>
      <c r="B171" s="7">
        <v>45627</v>
      </c>
      <c r="C171">
        <v>7774370</v>
      </c>
      <c r="D171">
        <v>6991831</v>
      </c>
      <c r="E171">
        <v>207893</v>
      </c>
      <c r="F171">
        <v>285568</v>
      </c>
      <c r="G171">
        <v>289078</v>
      </c>
      <c r="H171">
        <v>10.07</v>
      </c>
      <c r="I171">
        <v>205026.35</v>
      </c>
    </row>
    <row r="172" spans="1:9" x14ac:dyDescent="0.3">
      <c r="A172" t="s">
        <v>43</v>
      </c>
      <c r="B172" s="7">
        <v>45627</v>
      </c>
      <c r="C172">
        <v>5264186</v>
      </c>
      <c r="D172">
        <v>4394900</v>
      </c>
      <c r="E172">
        <v>81019</v>
      </c>
      <c r="F172">
        <v>282137</v>
      </c>
      <c r="G172">
        <v>506130</v>
      </c>
      <c r="H172">
        <v>16.510000000000002</v>
      </c>
      <c r="I172">
        <v>120910.89</v>
      </c>
    </row>
    <row r="173" spans="1:9" x14ac:dyDescent="0.3">
      <c r="A173" t="s">
        <v>44</v>
      </c>
      <c r="B173" s="7">
        <v>45627</v>
      </c>
      <c r="C173">
        <v>3449134</v>
      </c>
      <c r="D173">
        <v>2824541</v>
      </c>
      <c r="E173">
        <v>79846</v>
      </c>
      <c r="F173">
        <v>173178</v>
      </c>
      <c r="G173">
        <v>371569</v>
      </c>
      <c r="H173">
        <v>18.11</v>
      </c>
      <c r="I173">
        <v>52760.06</v>
      </c>
    </row>
    <row r="174" spans="1:9" x14ac:dyDescent="0.3">
      <c r="A174" t="s">
        <v>45</v>
      </c>
      <c r="B174" s="7">
        <v>45627</v>
      </c>
      <c r="C174">
        <v>7128672</v>
      </c>
      <c r="D174">
        <v>4954997</v>
      </c>
      <c r="E174">
        <v>58264</v>
      </c>
      <c r="F174">
        <v>365308</v>
      </c>
      <c r="G174">
        <v>1750103</v>
      </c>
      <c r="H174">
        <v>30.49</v>
      </c>
      <c r="I174">
        <v>232802.54</v>
      </c>
    </row>
    <row r="175" spans="1:9" x14ac:dyDescent="0.3">
      <c r="A175" t="s">
        <v>46</v>
      </c>
      <c r="B175" s="7">
        <v>45627</v>
      </c>
      <c r="C175">
        <v>4783968</v>
      </c>
      <c r="D175">
        <v>3888847</v>
      </c>
      <c r="E175">
        <v>49636</v>
      </c>
      <c r="F175">
        <v>259592</v>
      </c>
      <c r="G175">
        <v>585893</v>
      </c>
      <c r="H175">
        <v>18.71</v>
      </c>
      <c r="I175">
        <v>159064.65</v>
      </c>
    </row>
    <row r="176" spans="1:9" x14ac:dyDescent="0.3">
      <c r="A176" t="s">
        <v>47</v>
      </c>
      <c r="B176" s="7">
        <v>45627</v>
      </c>
      <c r="C176">
        <v>3876703</v>
      </c>
      <c r="D176">
        <v>3428628</v>
      </c>
      <c r="E176">
        <v>25155</v>
      </c>
      <c r="F176">
        <v>100439</v>
      </c>
      <c r="G176">
        <v>322481</v>
      </c>
      <c r="H176">
        <v>11.56</v>
      </c>
      <c r="I176">
        <v>75965.509999999995</v>
      </c>
    </row>
    <row r="177" spans="1:9" x14ac:dyDescent="0.3">
      <c r="A177" t="s">
        <v>48</v>
      </c>
      <c r="B177" s="7">
        <v>45627</v>
      </c>
      <c r="C177">
        <v>15601240</v>
      </c>
      <c r="D177">
        <v>11773199</v>
      </c>
      <c r="E177">
        <v>222715</v>
      </c>
      <c r="F177">
        <v>550065</v>
      </c>
      <c r="G177">
        <v>3055261</v>
      </c>
      <c r="H177">
        <v>24.54</v>
      </c>
      <c r="I177">
        <v>366754.44</v>
      </c>
    </row>
    <row r="178" spans="1:9" x14ac:dyDescent="0.3">
      <c r="A178" t="s">
        <v>49</v>
      </c>
      <c r="B178" s="7">
        <v>45627</v>
      </c>
      <c r="C178">
        <v>7774370</v>
      </c>
      <c r="D178">
        <v>5826540</v>
      </c>
      <c r="E178">
        <v>129097</v>
      </c>
      <c r="F178">
        <v>278926</v>
      </c>
      <c r="G178">
        <v>1539807</v>
      </c>
      <c r="H178">
        <v>25.05</v>
      </c>
      <c r="I178">
        <v>205026.35</v>
      </c>
    </row>
    <row r="179" spans="1:9" x14ac:dyDescent="0.3">
      <c r="A179" t="s">
        <v>50</v>
      </c>
      <c r="B179" s="7">
        <v>45627</v>
      </c>
      <c r="C179">
        <v>8175462</v>
      </c>
      <c r="D179">
        <v>6217290</v>
      </c>
      <c r="E179">
        <v>157255</v>
      </c>
      <c r="F179">
        <v>459991</v>
      </c>
      <c r="G179">
        <v>1340926</v>
      </c>
      <c r="H179">
        <v>23.95</v>
      </c>
      <c r="I179">
        <v>194718.65</v>
      </c>
    </row>
    <row r="180" spans="1:9" x14ac:dyDescent="0.3">
      <c r="A180" t="s">
        <v>52</v>
      </c>
      <c r="B180" s="7">
        <v>45627</v>
      </c>
      <c r="C180">
        <v>5264186</v>
      </c>
      <c r="D180">
        <v>4383629</v>
      </c>
      <c r="E180">
        <v>82383</v>
      </c>
      <c r="F180">
        <v>129688</v>
      </c>
      <c r="G180">
        <v>668486</v>
      </c>
      <c r="H180">
        <v>16.73</v>
      </c>
      <c r="I180">
        <v>120910.89</v>
      </c>
    </row>
    <row r="181" spans="1:9" x14ac:dyDescent="0.3">
      <c r="A181" t="s">
        <v>53</v>
      </c>
      <c r="B181" s="7">
        <v>45627</v>
      </c>
      <c r="C181">
        <v>3449134</v>
      </c>
      <c r="D181">
        <v>2913900</v>
      </c>
      <c r="E181">
        <v>26468</v>
      </c>
      <c r="F181">
        <v>153259</v>
      </c>
      <c r="G181">
        <v>355507</v>
      </c>
      <c r="H181">
        <v>15.52</v>
      </c>
      <c r="I181">
        <v>52760.06</v>
      </c>
    </row>
    <row r="182" spans="1:9" x14ac:dyDescent="0.3">
      <c r="A182" t="s">
        <v>43</v>
      </c>
      <c r="B182" s="7">
        <v>45658</v>
      </c>
      <c r="C182">
        <v>3578292</v>
      </c>
      <c r="D182">
        <v>2355705</v>
      </c>
      <c r="E182">
        <v>85973</v>
      </c>
      <c r="F182">
        <v>113373</v>
      </c>
      <c r="G182">
        <v>1023241</v>
      </c>
      <c r="H182">
        <v>34.17</v>
      </c>
      <c r="I182">
        <v>136254.01999999999</v>
      </c>
    </row>
    <row r="183" spans="1:9" x14ac:dyDescent="0.3">
      <c r="A183" t="s">
        <v>44</v>
      </c>
      <c r="B183" s="7">
        <v>45658</v>
      </c>
      <c r="C183">
        <v>2723764</v>
      </c>
      <c r="D183">
        <v>1840446</v>
      </c>
      <c r="E183">
        <v>28151</v>
      </c>
      <c r="F183">
        <v>62966</v>
      </c>
      <c r="G183">
        <v>792201</v>
      </c>
      <c r="H183">
        <v>32.43</v>
      </c>
      <c r="I183">
        <v>36549.75</v>
      </c>
    </row>
    <row r="184" spans="1:9" x14ac:dyDescent="0.3">
      <c r="A184" t="s">
        <v>47</v>
      </c>
      <c r="B184" s="7">
        <v>45658</v>
      </c>
      <c r="C184">
        <v>3456524</v>
      </c>
      <c r="D184">
        <v>2350258</v>
      </c>
      <c r="E184">
        <v>62761</v>
      </c>
      <c r="F184">
        <v>119580</v>
      </c>
      <c r="G184">
        <v>923925</v>
      </c>
      <c r="H184">
        <v>32.01</v>
      </c>
      <c r="I184">
        <v>77931.5</v>
      </c>
    </row>
    <row r="185" spans="1:9" x14ac:dyDescent="0.3">
      <c r="A185" t="s">
        <v>49</v>
      </c>
      <c r="B185" s="7">
        <v>45658</v>
      </c>
      <c r="C185">
        <v>6759957</v>
      </c>
      <c r="D185">
        <v>4835554</v>
      </c>
      <c r="E185">
        <v>116404</v>
      </c>
      <c r="F185">
        <v>255824</v>
      </c>
      <c r="G185">
        <v>1552175</v>
      </c>
      <c r="H185">
        <v>28.47</v>
      </c>
      <c r="I185">
        <v>200807.89</v>
      </c>
    </row>
    <row r="186" spans="1:9" x14ac:dyDescent="0.3">
      <c r="A186" t="s">
        <v>48</v>
      </c>
      <c r="B186" s="7">
        <v>45658</v>
      </c>
      <c r="C186">
        <v>11844907</v>
      </c>
      <c r="D186">
        <v>9105534</v>
      </c>
      <c r="E186">
        <v>137223</v>
      </c>
      <c r="F186">
        <v>633502</v>
      </c>
      <c r="G186">
        <v>1968648</v>
      </c>
      <c r="H186">
        <v>23.13</v>
      </c>
      <c r="I186">
        <v>228459.51</v>
      </c>
    </row>
    <row r="187" spans="1:9" x14ac:dyDescent="0.3">
      <c r="A187" t="s">
        <v>53</v>
      </c>
      <c r="B187" s="7">
        <v>45658</v>
      </c>
      <c r="C187">
        <v>2723764</v>
      </c>
      <c r="D187">
        <v>2106565</v>
      </c>
      <c r="E187">
        <v>66828</v>
      </c>
      <c r="F187">
        <v>132569</v>
      </c>
      <c r="G187">
        <v>417802</v>
      </c>
      <c r="H187">
        <v>22.66</v>
      </c>
      <c r="I187">
        <v>36549.75</v>
      </c>
    </row>
    <row r="188" spans="1:9" x14ac:dyDescent="0.3">
      <c r="A188" t="s">
        <v>38</v>
      </c>
      <c r="B188" s="7">
        <v>45658</v>
      </c>
      <c r="C188">
        <v>11844907</v>
      </c>
      <c r="D188">
        <v>9410673</v>
      </c>
      <c r="E188">
        <v>273356</v>
      </c>
      <c r="F188">
        <v>680688</v>
      </c>
      <c r="G188">
        <v>1480190</v>
      </c>
      <c r="H188">
        <v>20.55</v>
      </c>
      <c r="I188">
        <v>228459.51</v>
      </c>
    </row>
    <row r="189" spans="1:9" x14ac:dyDescent="0.3">
      <c r="A189" t="s">
        <v>50</v>
      </c>
      <c r="B189" s="7">
        <v>45658</v>
      </c>
      <c r="C189">
        <v>8412293</v>
      </c>
      <c r="D189">
        <v>7093501</v>
      </c>
      <c r="E189">
        <v>205878</v>
      </c>
      <c r="F189">
        <v>332312</v>
      </c>
      <c r="G189">
        <v>780602</v>
      </c>
      <c r="H189">
        <v>15.68</v>
      </c>
      <c r="I189">
        <v>133205.74</v>
      </c>
    </row>
    <row r="190" spans="1:9" x14ac:dyDescent="0.3">
      <c r="A190" t="s">
        <v>41</v>
      </c>
      <c r="B190" s="7">
        <v>45658</v>
      </c>
      <c r="C190">
        <v>9276787</v>
      </c>
      <c r="D190">
        <v>7897080</v>
      </c>
      <c r="E190">
        <v>126595</v>
      </c>
      <c r="F190">
        <v>221784</v>
      </c>
      <c r="G190">
        <v>1031328</v>
      </c>
      <c r="H190">
        <v>14.87</v>
      </c>
      <c r="I190">
        <v>171241.32</v>
      </c>
    </row>
    <row r="191" spans="1:9" x14ac:dyDescent="0.3">
      <c r="A191" t="s">
        <v>52</v>
      </c>
      <c r="B191" s="7">
        <v>45658</v>
      </c>
      <c r="C191">
        <v>3578292</v>
      </c>
      <c r="D191">
        <v>3149038</v>
      </c>
      <c r="E191">
        <v>77233</v>
      </c>
      <c r="F191">
        <v>95971</v>
      </c>
      <c r="G191">
        <v>256050</v>
      </c>
      <c r="H191">
        <v>12</v>
      </c>
      <c r="I191">
        <v>136254.01999999999</v>
      </c>
    </row>
    <row r="192" spans="1:9" x14ac:dyDescent="0.3">
      <c r="A192" t="s">
        <v>42</v>
      </c>
      <c r="B192" s="7">
        <v>45658</v>
      </c>
      <c r="C192">
        <v>6759957</v>
      </c>
      <c r="D192">
        <v>6028431</v>
      </c>
      <c r="E192">
        <v>124536</v>
      </c>
      <c r="F192">
        <v>307762</v>
      </c>
      <c r="G192">
        <v>299228</v>
      </c>
      <c r="H192">
        <v>10.82</v>
      </c>
      <c r="I192">
        <v>200807.89</v>
      </c>
    </row>
    <row r="193" spans="1:9" x14ac:dyDescent="0.3">
      <c r="A193" t="s">
        <v>45</v>
      </c>
      <c r="B193" s="7">
        <v>45658</v>
      </c>
      <c r="C193">
        <v>9276787</v>
      </c>
      <c r="D193">
        <v>8283913</v>
      </c>
      <c r="E193">
        <v>124079</v>
      </c>
      <c r="F193">
        <v>344845</v>
      </c>
      <c r="G193">
        <v>523950</v>
      </c>
      <c r="H193">
        <v>10.7</v>
      </c>
      <c r="I193">
        <v>171241.32</v>
      </c>
    </row>
    <row r="194" spans="1:9" x14ac:dyDescent="0.3">
      <c r="A194" t="s">
        <v>39</v>
      </c>
      <c r="B194" s="7">
        <v>45658</v>
      </c>
      <c r="C194">
        <v>11844907</v>
      </c>
      <c r="D194">
        <v>10781486</v>
      </c>
      <c r="E194">
        <v>170110</v>
      </c>
      <c r="F194">
        <v>659208</v>
      </c>
      <c r="G194">
        <v>234103</v>
      </c>
      <c r="H194">
        <v>8.98</v>
      </c>
      <c r="I194">
        <v>228459.51</v>
      </c>
    </row>
    <row r="195" spans="1:9" x14ac:dyDescent="0.3">
      <c r="A195" t="s">
        <v>46</v>
      </c>
      <c r="B195" s="7">
        <v>45658</v>
      </c>
      <c r="C195">
        <v>4861107</v>
      </c>
      <c r="D195">
        <v>4430743</v>
      </c>
      <c r="E195">
        <v>72460</v>
      </c>
      <c r="F195">
        <v>106740</v>
      </c>
      <c r="G195">
        <v>251164</v>
      </c>
      <c r="H195">
        <v>8.85</v>
      </c>
      <c r="I195">
        <v>131394.96</v>
      </c>
    </row>
    <row r="196" spans="1:9" x14ac:dyDescent="0.3">
      <c r="A196" t="s">
        <v>40</v>
      </c>
      <c r="B196" s="7">
        <v>45658</v>
      </c>
      <c r="C196">
        <v>8412293</v>
      </c>
      <c r="D196">
        <v>7696877</v>
      </c>
      <c r="E196">
        <v>140798</v>
      </c>
      <c r="F196">
        <v>450808</v>
      </c>
      <c r="G196">
        <v>123810</v>
      </c>
      <c r="H196">
        <v>8.5</v>
      </c>
      <c r="I196">
        <v>133205.74</v>
      </c>
    </row>
    <row r="197" spans="1:9" x14ac:dyDescent="0.3">
      <c r="A197" t="s">
        <v>39</v>
      </c>
      <c r="B197" s="7">
        <v>45689</v>
      </c>
      <c r="C197">
        <v>9506532</v>
      </c>
      <c r="D197">
        <v>6385228</v>
      </c>
      <c r="E197">
        <v>276674</v>
      </c>
      <c r="F197">
        <v>522689</v>
      </c>
      <c r="G197">
        <v>2321941</v>
      </c>
      <c r="H197">
        <v>32.83</v>
      </c>
      <c r="I197">
        <v>151335</v>
      </c>
    </row>
    <row r="198" spans="1:9" x14ac:dyDescent="0.3">
      <c r="A198" t="s">
        <v>43</v>
      </c>
      <c r="B198" s="7">
        <v>45689</v>
      </c>
      <c r="C198">
        <v>3964986</v>
      </c>
      <c r="D198">
        <v>2757316</v>
      </c>
      <c r="E198">
        <v>65156</v>
      </c>
      <c r="F198">
        <v>197062</v>
      </c>
      <c r="G198">
        <v>945452</v>
      </c>
      <c r="H198">
        <v>30.46</v>
      </c>
      <c r="I198">
        <v>77732.45</v>
      </c>
    </row>
    <row r="199" spans="1:9" x14ac:dyDescent="0.3">
      <c r="A199" t="s">
        <v>52</v>
      </c>
      <c r="B199" s="7">
        <v>45689</v>
      </c>
      <c r="C199">
        <v>3964986</v>
      </c>
      <c r="D199">
        <v>2864478</v>
      </c>
      <c r="E199">
        <v>92490</v>
      </c>
      <c r="F199">
        <v>138397</v>
      </c>
      <c r="G199">
        <v>869621</v>
      </c>
      <c r="H199">
        <v>27.76</v>
      </c>
      <c r="I199">
        <v>77732.45</v>
      </c>
    </row>
    <row r="200" spans="1:9" x14ac:dyDescent="0.3">
      <c r="A200" t="s">
        <v>47</v>
      </c>
      <c r="B200" s="7">
        <v>45689</v>
      </c>
      <c r="C200">
        <v>3155745</v>
      </c>
      <c r="D200">
        <v>2388301</v>
      </c>
      <c r="E200">
        <v>23749</v>
      </c>
      <c r="F200">
        <v>101206</v>
      </c>
      <c r="G200">
        <v>642489</v>
      </c>
      <c r="H200">
        <v>24.32</v>
      </c>
      <c r="I200">
        <v>97602.19</v>
      </c>
    </row>
    <row r="201" spans="1:9" x14ac:dyDescent="0.3">
      <c r="A201" t="s">
        <v>40</v>
      </c>
      <c r="B201" s="7">
        <v>45689</v>
      </c>
      <c r="C201">
        <v>7040332</v>
      </c>
      <c r="D201">
        <v>5363051</v>
      </c>
      <c r="E201">
        <v>134210</v>
      </c>
      <c r="F201">
        <v>203120</v>
      </c>
      <c r="G201">
        <v>1339951</v>
      </c>
      <c r="H201">
        <v>23.82</v>
      </c>
      <c r="I201">
        <v>144102</v>
      </c>
    </row>
    <row r="202" spans="1:9" x14ac:dyDescent="0.3">
      <c r="A202" t="s">
        <v>44</v>
      </c>
      <c r="B202" s="7">
        <v>45689</v>
      </c>
      <c r="C202">
        <v>2927163</v>
      </c>
      <c r="D202">
        <v>2254407</v>
      </c>
      <c r="E202">
        <v>15225</v>
      </c>
      <c r="F202">
        <v>98771</v>
      </c>
      <c r="G202">
        <v>558760</v>
      </c>
      <c r="H202">
        <v>22.98</v>
      </c>
      <c r="I202">
        <v>70951.22</v>
      </c>
    </row>
    <row r="203" spans="1:9" x14ac:dyDescent="0.3">
      <c r="A203" t="s">
        <v>49</v>
      </c>
      <c r="B203" s="7">
        <v>45689</v>
      </c>
      <c r="C203">
        <v>7294514</v>
      </c>
      <c r="D203">
        <v>5827296</v>
      </c>
      <c r="E203">
        <v>99250</v>
      </c>
      <c r="F203">
        <v>390301</v>
      </c>
      <c r="G203">
        <v>977667</v>
      </c>
      <c r="H203">
        <v>20.11</v>
      </c>
      <c r="I203">
        <v>115194.64</v>
      </c>
    </row>
    <row r="204" spans="1:9" x14ac:dyDescent="0.3">
      <c r="A204" t="s">
        <v>41</v>
      </c>
      <c r="B204" s="7">
        <v>45689</v>
      </c>
      <c r="C204">
        <v>6068548</v>
      </c>
      <c r="D204">
        <v>4936130</v>
      </c>
      <c r="E204">
        <v>123474</v>
      </c>
      <c r="F204">
        <v>265950</v>
      </c>
      <c r="G204">
        <v>742994</v>
      </c>
      <c r="H204">
        <v>18.66</v>
      </c>
      <c r="I204">
        <v>161362.5</v>
      </c>
    </row>
    <row r="205" spans="1:9" x14ac:dyDescent="0.3">
      <c r="A205" t="s">
        <v>50</v>
      </c>
      <c r="B205" s="7">
        <v>45689</v>
      </c>
      <c r="C205">
        <v>7040332</v>
      </c>
      <c r="D205">
        <v>5782328</v>
      </c>
      <c r="E205">
        <v>36031</v>
      </c>
      <c r="F205">
        <v>217835</v>
      </c>
      <c r="G205">
        <v>1004138</v>
      </c>
      <c r="H205">
        <v>17.87</v>
      </c>
      <c r="I205">
        <v>144102</v>
      </c>
    </row>
    <row r="206" spans="1:9" x14ac:dyDescent="0.3">
      <c r="A206" t="s">
        <v>42</v>
      </c>
      <c r="B206" s="7">
        <v>45689</v>
      </c>
      <c r="C206">
        <v>7294514</v>
      </c>
      <c r="D206">
        <v>6036592</v>
      </c>
      <c r="E206">
        <v>101212</v>
      </c>
      <c r="F206">
        <v>334672</v>
      </c>
      <c r="G206">
        <v>822038</v>
      </c>
      <c r="H206">
        <v>17.239999999999998</v>
      </c>
      <c r="I206">
        <v>115194.64</v>
      </c>
    </row>
    <row r="207" spans="1:9" x14ac:dyDescent="0.3">
      <c r="A207" t="s">
        <v>48</v>
      </c>
      <c r="B207" s="7">
        <v>45689</v>
      </c>
      <c r="C207">
        <v>9506532</v>
      </c>
      <c r="D207">
        <v>7966922</v>
      </c>
      <c r="E207">
        <v>70515</v>
      </c>
      <c r="F207">
        <v>444198</v>
      </c>
      <c r="G207">
        <v>1024897</v>
      </c>
      <c r="H207">
        <v>16.2</v>
      </c>
      <c r="I207">
        <v>151335</v>
      </c>
    </row>
    <row r="208" spans="1:9" x14ac:dyDescent="0.3">
      <c r="A208" t="s">
        <v>38</v>
      </c>
      <c r="B208" s="7">
        <v>45689</v>
      </c>
      <c r="C208">
        <v>9506532</v>
      </c>
      <c r="D208">
        <v>8443760</v>
      </c>
      <c r="E208">
        <v>89311</v>
      </c>
      <c r="F208">
        <v>539832</v>
      </c>
      <c r="G208">
        <v>433629</v>
      </c>
      <c r="H208">
        <v>11.18</v>
      </c>
      <c r="I208">
        <v>151335</v>
      </c>
    </row>
    <row r="209" spans="1:9" x14ac:dyDescent="0.3">
      <c r="A209" t="s">
        <v>53</v>
      </c>
      <c r="B209" s="7">
        <v>45689</v>
      </c>
      <c r="C209">
        <v>2927163</v>
      </c>
      <c r="D209">
        <v>2635000</v>
      </c>
      <c r="E209">
        <v>75920</v>
      </c>
      <c r="F209">
        <v>127485</v>
      </c>
      <c r="G209">
        <v>88758</v>
      </c>
      <c r="H209">
        <v>9.98</v>
      </c>
      <c r="I209">
        <v>70951.22</v>
      </c>
    </row>
    <row r="210" spans="1:9" x14ac:dyDescent="0.3">
      <c r="A210" t="s">
        <v>46</v>
      </c>
      <c r="B210" s="7">
        <v>45689</v>
      </c>
      <c r="C210">
        <v>5399195</v>
      </c>
      <c r="D210">
        <v>4897426</v>
      </c>
      <c r="E210">
        <v>142349</v>
      </c>
      <c r="F210">
        <v>228052</v>
      </c>
      <c r="G210">
        <v>131368</v>
      </c>
      <c r="H210">
        <v>9.2899999999999991</v>
      </c>
      <c r="I210">
        <v>86156.83</v>
      </c>
    </row>
    <row r="211" spans="1:9" x14ac:dyDescent="0.3">
      <c r="A211" t="s">
        <v>45</v>
      </c>
      <c r="B211" s="7">
        <v>45689</v>
      </c>
      <c r="C211">
        <v>6068548</v>
      </c>
      <c r="D211">
        <v>5542184</v>
      </c>
      <c r="E211">
        <v>125548</v>
      </c>
      <c r="F211">
        <v>241806</v>
      </c>
      <c r="G211">
        <v>159010</v>
      </c>
      <c r="H211">
        <v>8.67</v>
      </c>
      <c r="I211">
        <v>161362.5</v>
      </c>
    </row>
    <row r="212" spans="1:9" x14ac:dyDescent="0.3">
      <c r="A212" t="s">
        <v>46</v>
      </c>
      <c r="B212" s="7">
        <v>45717</v>
      </c>
      <c r="C212">
        <v>4565222</v>
      </c>
      <c r="D212">
        <v>3093006</v>
      </c>
      <c r="E212">
        <v>113424</v>
      </c>
      <c r="F212">
        <v>113482</v>
      </c>
      <c r="G212">
        <v>1245310</v>
      </c>
      <c r="H212">
        <v>32.25</v>
      </c>
      <c r="I212">
        <v>137958.57</v>
      </c>
    </row>
    <row r="213" spans="1:9" x14ac:dyDescent="0.3">
      <c r="A213" t="s">
        <v>43</v>
      </c>
      <c r="B213" s="7">
        <v>45717</v>
      </c>
      <c r="C213">
        <v>4289405</v>
      </c>
      <c r="D213">
        <v>2919227</v>
      </c>
      <c r="E213">
        <v>33693</v>
      </c>
      <c r="F213">
        <v>218779</v>
      </c>
      <c r="G213">
        <v>1117706</v>
      </c>
      <c r="H213">
        <v>31.94</v>
      </c>
      <c r="I213">
        <v>71769.95</v>
      </c>
    </row>
    <row r="214" spans="1:9" x14ac:dyDescent="0.3">
      <c r="A214" t="s">
        <v>44</v>
      </c>
      <c r="B214" s="7">
        <v>45717</v>
      </c>
      <c r="C214">
        <v>3448687</v>
      </c>
      <c r="D214">
        <v>2364720</v>
      </c>
      <c r="E214">
        <v>23350</v>
      </c>
      <c r="F214">
        <v>121817</v>
      </c>
      <c r="G214">
        <v>938800</v>
      </c>
      <c r="H214">
        <v>31.43</v>
      </c>
      <c r="I214">
        <v>118261.62</v>
      </c>
    </row>
    <row r="215" spans="1:9" x14ac:dyDescent="0.3">
      <c r="A215" t="s">
        <v>39</v>
      </c>
      <c r="B215" s="7">
        <v>45717</v>
      </c>
      <c r="C215">
        <v>12800018</v>
      </c>
      <c r="D215">
        <v>8936817</v>
      </c>
      <c r="E215">
        <v>235923</v>
      </c>
      <c r="F215">
        <v>526768</v>
      </c>
      <c r="G215">
        <v>3100510</v>
      </c>
      <c r="H215">
        <v>30.18</v>
      </c>
      <c r="I215">
        <v>190496.54</v>
      </c>
    </row>
    <row r="216" spans="1:9" x14ac:dyDescent="0.3">
      <c r="A216" t="s">
        <v>49</v>
      </c>
      <c r="B216" s="7">
        <v>45717</v>
      </c>
      <c r="C216">
        <v>6176681</v>
      </c>
      <c r="D216">
        <v>4490253</v>
      </c>
      <c r="E216">
        <v>90575</v>
      </c>
      <c r="F216">
        <v>163782</v>
      </c>
      <c r="G216">
        <v>1432071</v>
      </c>
      <c r="H216">
        <v>27.3</v>
      </c>
      <c r="I216">
        <v>138253.98000000001</v>
      </c>
    </row>
    <row r="217" spans="1:9" x14ac:dyDescent="0.3">
      <c r="A217" t="s">
        <v>52</v>
      </c>
      <c r="B217" s="7">
        <v>45717</v>
      </c>
      <c r="C217">
        <v>4289405</v>
      </c>
      <c r="D217">
        <v>3251658</v>
      </c>
      <c r="E217">
        <v>70404</v>
      </c>
      <c r="F217">
        <v>229175</v>
      </c>
      <c r="G217">
        <v>738168</v>
      </c>
      <c r="H217">
        <v>24.19</v>
      </c>
      <c r="I217">
        <v>71769.95</v>
      </c>
    </row>
    <row r="218" spans="1:9" x14ac:dyDescent="0.3">
      <c r="A218" t="s">
        <v>38</v>
      </c>
      <c r="B218" s="7">
        <v>45717</v>
      </c>
      <c r="C218">
        <v>12800018</v>
      </c>
      <c r="D218">
        <v>10032060</v>
      </c>
      <c r="E218">
        <v>363715</v>
      </c>
      <c r="F218">
        <v>748612</v>
      </c>
      <c r="G218">
        <v>1655631</v>
      </c>
      <c r="H218">
        <v>21.62</v>
      </c>
      <c r="I218">
        <v>190496.54</v>
      </c>
    </row>
    <row r="219" spans="1:9" x14ac:dyDescent="0.3">
      <c r="A219" t="s">
        <v>48</v>
      </c>
      <c r="B219" s="7">
        <v>45717</v>
      </c>
      <c r="C219">
        <v>12800018</v>
      </c>
      <c r="D219">
        <v>10358109</v>
      </c>
      <c r="E219">
        <v>241152</v>
      </c>
      <c r="F219">
        <v>686489</v>
      </c>
      <c r="G219">
        <v>1514268</v>
      </c>
      <c r="H219">
        <v>19.079999999999998</v>
      </c>
      <c r="I219">
        <v>190496.54</v>
      </c>
    </row>
    <row r="220" spans="1:9" x14ac:dyDescent="0.3">
      <c r="A220" t="s">
        <v>41</v>
      </c>
      <c r="B220" s="7">
        <v>45717</v>
      </c>
      <c r="C220">
        <v>6482156</v>
      </c>
      <c r="D220">
        <v>5323232</v>
      </c>
      <c r="E220">
        <v>159387</v>
      </c>
      <c r="F220">
        <v>246464</v>
      </c>
      <c r="G220">
        <v>753073</v>
      </c>
      <c r="H220">
        <v>17.88</v>
      </c>
      <c r="I220">
        <v>139266.43</v>
      </c>
    </row>
    <row r="221" spans="1:9" x14ac:dyDescent="0.3">
      <c r="A221" t="s">
        <v>42</v>
      </c>
      <c r="B221" s="7">
        <v>45717</v>
      </c>
      <c r="C221">
        <v>6176681</v>
      </c>
      <c r="D221">
        <v>5093419</v>
      </c>
      <c r="E221">
        <v>180175</v>
      </c>
      <c r="F221">
        <v>205460</v>
      </c>
      <c r="G221">
        <v>697627</v>
      </c>
      <c r="H221">
        <v>17.54</v>
      </c>
      <c r="I221">
        <v>138253.98000000001</v>
      </c>
    </row>
    <row r="222" spans="1:9" x14ac:dyDescent="0.3">
      <c r="A222" t="s">
        <v>53</v>
      </c>
      <c r="B222" s="7">
        <v>45717</v>
      </c>
      <c r="C222">
        <v>3448687</v>
      </c>
      <c r="D222">
        <v>2854765</v>
      </c>
      <c r="E222">
        <v>99683</v>
      </c>
      <c r="F222">
        <v>87546</v>
      </c>
      <c r="G222">
        <v>406693</v>
      </c>
      <c r="H222">
        <v>17.22</v>
      </c>
      <c r="I222">
        <v>118261.62</v>
      </c>
    </row>
    <row r="223" spans="1:9" x14ac:dyDescent="0.3">
      <c r="A223" t="s">
        <v>50</v>
      </c>
      <c r="B223" s="7">
        <v>45717</v>
      </c>
      <c r="C223">
        <v>10251419</v>
      </c>
      <c r="D223">
        <v>8779423</v>
      </c>
      <c r="E223">
        <v>176728</v>
      </c>
      <c r="F223">
        <v>518135</v>
      </c>
      <c r="G223">
        <v>777133</v>
      </c>
      <c r="H223">
        <v>14.36</v>
      </c>
      <c r="I223">
        <v>246228.24</v>
      </c>
    </row>
    <row r="224" spans="1:9" x14ac:dyDescent="0.3">
      <c r="A224" t="s">
        <v>45</v>
      </c>
      <c r="B224" s="7">
        <v>45717</v>
      </c>
      <c r="C224">
        <v>6482156</v>
      </c>
      <c r="D224">
        <v>5717437</v>
      </c>
      <c r="E224">
        <v>59454</v>
      </c>
      <c r="F224">
        <v>170431</v>
      </c>
      <c r="G224">
        <v>534834</v>
      </c>
      <c r="H224">
        <v>11.8</v>
      </c>
      <c r="I224">
        <v>139266.43</v>
      </c>
    </row>
    <row r="225" spans="1:9" x14ac:dyDescent="0.3">
      <c r="A225" t="s">
        <v>40</v>
      </c>
      <c r="B225" s="7">
        <v>45717</v>
      </c>
      <c r="C225">
        <v>10251419</v>
      </c>
      <c r="D225">
        <v>9250723</v>
      </c>
      <c r="E225">
        <v>199683</v>
      </c>
      <c r="F225">
        <v>376259</v>
      </c>
      <c r="G225">
        <v>424754</v>
      </c>
      <c r="H225">
        <v>9.76</v>
      </c>
      <c r="I225">
        <v>246228.24</v>
      </c>
    </row>
    <row r="226" spans="1:9" x14ac:dyDescent="0.3">
      <c r="A226" t="s">
        <v>47</v>
      </c>
      <c r="B226" s="7">
        <v>45717</v>
      </c>
      <c r="C226">
        <v>3783712</v>
      </c>
      <c r="D226">
        <v>3428600</v>
      </c>
      <c r="E226">
        <v>93821</v>
      </c>
      <c r="F226">
        <v>221068</v>
      </c>
      <c r="G226">
        <v>40223</v>
      </c>
      <c r="H226">
        <v>9.39</v>
      </c>
      <c r="I226">
        <v>44657.84</v>
      </c>
    </row>
    <row r="227" spans="1:9" x14ac:dyDescent="0.3">
      <c r="A227" t="s">
        <v>39</v>
      </c>
      <c r="B227" s="7">
        <v>45748</v>
      </c>
      <c r="C227">
        <v>15529842</v>
      </c>
      <c r="D227">
        <v>10108961</v>
      </c>
      <c r="E227">
        <v>86476</v>
      </c>
      <c r="F227">
        <v>495938</v>
      </c>
      <c r="G227">
        <v>4838467</v>
      </c>
      <c r="H227">
        <v>34.909999999999997</v>
      </c>
      <c r="I227">
        <v>359767.7</v>
      </c>
    </row>
    <row r="228" spans="1:9" x14ac:dyDescent="0.3">
      <c r="A228" t="s">
        <v>53</v>
      </c>
      <c r="B228" s="7">
        <v>45748</v>
      </c>
      <c r="C228">
        <v>3747644</v>
      </c>
      <c r="D228">
        <v>2485116</v>
      </c>
      <c r="E228">
        <v>106368</v>
      </c>
      <c r="F228">
        <v>200696</v>
      </c>
      <c r="G228">
        <v>955464</v>
      </c>
      <c r="H228">
        <v>33.69</v>
      </c>
      <c r="I228">
        <v>92456.1</v>
      </c>
    </row>
    <row r="229" spans="1:9" x14ac:dyDescent="0.3">
      <c r="A229" t="s">
        <v>42</v>
      </c>
      <c r="B229" s="7">
        <v>45748</v>
      </c>
      <c r="C229">
        <v>7598036</v>
      </c>
      <c r="D229">
        <v>5141011</v>
      </c>
      <c r="E229">
        <v>80159</v>
      </c>
      <c r="F229">
        <v>378945</v>
      </c>
      <c r="G229">
        <v>1997921</v>
      </c>
      <c r="H229">
        <v>32.340000000000003</v>
      </c>
      <c r="I229">
        <v>185165.8</v>
      </c>
    </row>
    <row r="230" spans="1:9" x14ac:dyDescent="0.3">
      <c r="A230" t="s">
        <v>46</v>
      </c>
      <c r="B230" s="7">
        <v>45748</v>
      </c>
      <c r="C230">
        <v>4082347</v>
      </c>
      <c r="D230">
        <v>2797604</v>
      </c>
      <c r="E230">
        <v>104474</v>
      </c>
      <c r="F230">
        <v>142431</v>
      </c>
      <c r="G230">
        <v>1037838</v>
      </c>
      <c r="H230">
        <v>31.47</v>
      </c>
      <c r="I230">
        <v>95701.9</v>
      </c>
    </row>
    <row r="231" spans="1:9" x14ac:dyDescent="0.3">
      <c r="A231" t="s">
        <v>49</v>
      </c>
      <c r="B231" s="7">
        <v>45748</v>
      </c>
      <c r="C231">
        <v>7598036</v>
      </c>
      <c r="D231">
        <v>5392818</v>
      </c>
      <c r="E231">
        <v>80750</v>
      </c>
      <c r="F231">
        <v>214790</v>
      </c>
      <c r="G231">
        <v>1909678</v>
      </c>
      <c r="H231">
        <v>29.02</v>
      </c>
      <c r="I231">
        <v>185165.8</v>
      </c>
    </row>
    <row r="232" spans="1:9" x14ac:dyDescent="0.3">
      <c r="A232" t="s">
        <v>38</v>
      </c>
      <c r="B232" s="7">
        <v>45748</v>
      </c>
      <c r="C232">
        <v>15529842</v>
      </c>
      <c r="D232">
        <v>11345572</v>
      </c>
      <c r="E232">
        <v>311677</v>
      </c>
      <c r="F232">
        <v>887347</v>
      </c>
      <c r="G232">
        <v>2985246</v>
      </c>
      <c r="H232">
        <v>26.94</v>
      </c>
      <c r="I232">
        <v>359767.7</v>
      </c>
    </row>
    <row r="233" spans="1:9" x14ac:dyDescent="0.3">
      <c r="A233" t="s">
        <v>44</v>
      </c>
      <c r="B233" s="7">
        <v>45748</v>
      </c>
      <c r="C233">
        <v>3747644</v>
      </c>
      <c r="D233">
        <v>2753037</v>
      </c>
      <c r="E233">
        <v>101279</v>
      </c>
      <c r="F233">
        <v>95509</v>
      </c>
      <c r="G233">
        <v>797819</v>
      </c>
      <c r="H233">
        <v>26.54</v>
      </c>
      <c r="I233">
        <v>92456.1</v>
      </c>
    </row>
    <row r="234" spans="1:9" x14ac:dyDescent="0.3">
      <c r="A234" t="s">
        <v>40</v>
      </c>
      <c r="B234" s="7">
        <v>45748</v>
      </c>
      <c r="C234">
        <v>10015836</v>
      </c>
      <c r="D234">
        <v>7537484</v>
      </c>
      <c r="E234">
        <v>258749</v>
      </c>
      <c r="F234">
        <v>400353</v>
      </c>
      <c r="G234">
        <v>1819250</v>
      </c>
      <c r="H234">
        <v>24.74</v>
      </c>
      <c r="I234">
        <v>286657.19</v>
      </c>
    </row>
    <row r="235" spans="1:9" x14ac:dyDescent="0.3">
      <c r="A235" t="s">
        <v>52</v>
      </c>
      <c r="B235" s="7">
        <v>45748</v>
      </c>
      <c r="C235">
        <v>4054755</v>
      </c>
      <c r="D235">
        <v>3097304</v>
      </c>
      <c r="E235">
        <v>110099</v>
      </c>
      <c r="F235">
        <v>108144</v>
      </c>
      <c r="G235">
        <v>739208</v>
      </c>
      <c r="H235">
        <v>23.61</v>
      </c>
      <c r="I235">
        <v>46823.96</v>
      </c>
    </row>
    <row r="236" spans="1:9" x14ac:dyDescent="0.3">
      <c r="A236" t="s">
        <v>41</v>
      </c>
      <c r="B236" s="7">
        <v>45748</v>
      </c>
      <c r="C236">
        <v>8147869</v>
      </c>
      <c r="D236">
        <v>6246147</v>
      </c>
      <c r="E236">
        <v>179190</v>
      </c>
      <c r="F236">
        <v>378280</v>
      </c>
      <c r="G236">
        <v>1344252</v>
      </c>
      <c r="H236">
        <v>23.34</v>
      </c>
      <c r="I236">
        <v>206638.83</v>
      </c>
    </row>
    <row r="237" spans="1:9" x14ac:dyDescent="0.3">
      <c r="A237" t="s">
        <v>50</v>
      </c>
      <c r="B237" s="7">
        <v>45748</v>
      </c>
      <c r="C237">
        <v>10015836</v>
      </c>
      <c r="D237">
        <v>8223418</v>
      </c>
      <c r="E237">
        <v>151087</v>
      </c>
      <c r="F237">
        <v>587059</v>
      </c>
      <c r="G237">
        <v>1054272</v>
      </c>
      <c r="H237">
        <v>17.899999999999999</v>
      </c>
      <c r="I237">
        <v>286657.19</v>
      </c>
    </row>
    <row r="238" spans="1:9" x14ac:dyDescent="0.3">
      <c r="A238" t="s">
        <v>48</v>
      </c>
      <c r="B238" s="7">
        <v>45748</v>
      </c>
      <c r="C238">
        <v>15529842</v>
      </c>
      <c r="D238">
        <v>12975312</v>
      </c>
      <c r="E238">
        <v>441187</v>
      </c>
      <c r="F238">
        <v>666363</v>
      </c>
      <c r="G238">
        <v>1446980</v>
      </c>
      <c r="H238">
        <v>16.45</v>
      </c>
      <c r="I238">
        <v>359767.7</v>
      </c>
    </row>
    <row r="239" spans="1:9" x14ac:dyDescent="0.3">
      <c r="A239" t="s">
        <v>45</v>
      </c>
      <c r="B239" s="7">
        <v>45748</v>
      </c>
      <c r="C239">
        <v>8147869</v>
      </c>
      <c r="D239">
        <v>6886172</v>
      </c>
      <c r="E239">
        <v>87264</v>
      </c>
      <c r="F239">
        <v>328790</v>
      </c>
      <c r="G239">
        <v>845643</v>
      </c>
      <c r="H239">
        <v>15.48</v>
      </c>
      <c r="I239">
        <v>206638.83</v>
      </c>
    </row>
    <row r="240" spans="1:9" x14ac:dyDescent="0.3">
      <c r="A240" t="s">
        <v>43</v>
      </c>
      <c r="B240" s="7">
        <v>45748</v>
      </c>
      <c r="C240">
        <v>4054755</v>
      </c>
      <c r="D240">
        <v>3536171</v>
      </c>
      <c r="E240">
        <v>24491</v>
      </c>
      <c r="F240">
        <v>197706</v>
      </c>
      <c r="G240">
        <v>296387</v>
      </c>
      <c r="H240">
        <v>12.79</v>
      </c>
      <c r="I240">
        <v>46823.96</v>
      </c>
    </row>
    <row r="241" spans="1:9" x14ac:dyDescent="0.3">
      <c r="A241" t="s">
        <v>47</v>
      </c>
      <c r="B241" s="7">
        <v>45748</v>
      </c>
      <c r="C241">
        <v>3881996</v>
      </c>
      <c r="D241">
        <v>3538674</v>
      </c>
      <c r="E241">
        <v>86719</v>
      </c>
      <c r="F241">
        <v>221870</v>
      </c>
      <c r="G241">
        <v>34733</v>
      </c>
      <c r="H241">
        <v>8.84</v>
      </c>
      <c r="I241">
        <v>130493.18</v>
      </c>
    </row>
    <row r="242" spans="1:9" x14ac:dyDescent="0.3">
      <c r="A242" t="s">
        <v>45</v>
      </c>
      <c r="B242" s="7">
        <v>45778</v>
      </c>
      <c r="C242">
        <v>9699905</v>
      </c>
      <c r="D242">
        <v>6425362</v>
      </c>
      <c r="E242">
        <v>136762</v>
      </c>
      <c r="F242">
        <v>551042</v>
      </c>
      <c r="G242">
        <v>2586739</v>
      </c>
      <c r="H242">
        <v>33.76</v>
      </c>
      <c r="I242">
        <v>111499.26</v>
      </c>
    </row>
    <row r="243" spans="1:9" x14ac:dyDescent="0.3">
      <c r="A243" t="s">
        <v>44</v>
      </c>
      <c r="B243" s="7">
        <v>45778</v>
      </c>
      <c r="C243">
        <v>3090905</v>
      </c>
      <c r="D243">
        <v>2120204</v>
      </c>
      <c r="E243">
        <v>92181</v>
      </c>
      <c r="F243">
        <v>79479</v>
      </c>
      <c r="G243">
        <v>799041</v>
      </c>
      <c r="H243">
        <v>31.41</v>
      </c>
      <c r="I243">
        <v>70930.11</v>
      </c>
    </row>
    <row r="244" spans="1:9" x14ac:dyDescent="0.3">
      <c r="A244" t="s">
        <v>50</v>
      </c>
      <c r="B244" s="7">
        <v>45778</v>
      </c>
      <c r="C244">
        <v>12167925</v>
      </c>
      <c r="D244">
        <v>8564294</v>
      </c>
      <c r="E244">
        <v>174336</v>
      </c>
      <c r="F244">
        <v>250210</v>
      </c>
      <c r="G244">
        <v>3179085</v>
      </c>
      <c r="H244">
        <v>29.62</v>
      </c>
      <c r="I244">
        <v>204166.63</v>
      </c>
    </row>
    <row r="245" spans="1:9" x14ac:dyDescent="0.3">
      <c r="A245" t="s">
        <v>42</v>
      </c>
      <c r="B245" s="7">
        <v>45778</v>
      </c>
      <c r="C245">
        <v>7402428</v>
      </c>
      <c r="D245">
        <v>5253344</v>
      </c>
      <c r="E245">
        <v>106246</v>
      </c>
      <c r="F245">
        <v>285160</v>
      </c>
      <c r="G245">
        <v>1757678</v>
      </c>
      <c r="H245">
        <v>29.03</v>
      </c>
      <c r="I245">
        <v>146103.32</v>
      </c>
    </row>
    <row r="246" spans="1:9" x14ac:dyDescent="0.3">
      <c r="A246" t="s">
        <v>40</v>
      </c>
      <c r="B246" s="7">
        <v>45778</v>
      </c>
      <c r="C246">
        <v>12167925</v>
      </c>
      <c r="D246">
        <v>8754557</v>
      </c>
      <c r="E246">
        <v>310766</v>
      </c>
      <c r="F246">
        <v>713774</v>
      </c>
      <c r="G246">
        <v>2388828</v>
      </c>
      <c r="H246">
        <v>28.05</v>
      </c>
      <c r="I246">
        <v>204166.63</v>
      </c>
    </row>
    <row r="247" spans="1:9" x14ac:dyDescent="0.3">
      <c r="A247" t="s">
        <v>48</v>
      </c>
      <c r="B247" s="7">
        <v>45778</v>
      </c>
      <c r="C247">
        <v>16016180</v>
      </c>
      <c r="D247">
        <v>12117796</v>
      </c>
      <c r="E247">
        <v>422002</v>
      </c>
      <c r="F247">
        <v>342572</v>
      </c>
      <c r="G247">
        <v>3133810</v>
      </c>
      <c r="H247">
        <v>24.34</v>
      </c>
      <c r="I247">
        <v>321294.15000000002</v>
      </c>
    </row>
    <row r="248" spans="1:9" x14ac:dyDescent="0.3">
      <c r="A248" t="s">
        <v>39</v>
      </c>
      <c r="B248" s="7">
        <v>45778</v>
      </c>
      <c r="C248">
        <v>16016180</v>
      </c>
      <c r="D248">
        <v>12710793</v>
      </c>
      <c r="E248">
        <v>409758</v>
      </c>
      <c r="F248">
        <v>478891</v>
      </c>
      <c r="G248">
        <v>2416738</v>
      </c>
      <c r="H248">
        <v>20.64</v>
      </c>
      <c r="I248">
        <v>321294.15000000002</v>
      </c>
    </row>
    <row r="249" spans="1:9" x14ac:dyDescent="0.3">
      <c r="A249" t="s">
        <v>38</v>
      </c>
      <c r="B249" s="7">
        <v>45778</v>
      </c>
      <c r="C249">
        <v>16016180</v>
      </c>
      <c r="D249">
        <v>12759948</v>
      </c>
      <c r="E249">
        <v>277845</v>
      </c>
      <c r="F249">
        <v>921609</v>
      </c>
      <c r="G249">
        <v>2056778</v>
      </c>
      <c r="H249">
        <v>20.329999999999998</v>
      </c>
      <c r="I249">
        <v>321294.15000000002</v>
      </c>
    </row>
    <row r="250" spans="1:9" x14ac:dyDescent="0.3">
      <c r="A250" t="s">
        <v>46</v>
      </c>
      <c r="B250" s="7">
        <v>45778</v>
      </c>
      <c r="C250">
        <v>4904228</v>
      </c>
      <c r="D250">
        <v>3958827</v>
      </c>
      <c r="E250">
        <v>56254</v>
      </c>
      <c r="F250">
        <v>257520</v>
      </c>
      <c r="G250">
        <v>631627</v>
      </c>
      <c r="H250">
        <v>19.28</v>
      </c>
      <c r="I250">
        <v>88083.64</v>
      </c>
    </row>
    <row r="251" spans="1:9" x14ac:dyDescent="0.3">
      <c r="A251" t="s">
        <v>47</v>
      </c>
      <c r="B251" s="7">
        <v>45778</v>
      </c>
      <c r="C251">
        <v>4039033</v>
      </c>
      <c r="D251">
        <v>3267644</v>
      </c>
      <c r="E251">
        <v>37901</v>
      </c>
      <c r="F251">
        <v>130351</v>
      </c>
      <c r="G251">
        <v>603137</v>
      </c>
      <c r="H251">
        <v>19.100000000000001</v>
      </c>
      <c r="I251">
        <v>81087.009999999995</v>
      </c>
    </row>
    <row r="252" spans="1:9" x14ac:dyDescent="0.3">
      <c r="A252" t="s">
        <v>43</v>
      </c>
      <c r="B252" s="7">
        <v>45778</v>
      </c>
      <c r="C252">
        <v>5095836</v>
      </c>
      <c r="D252">
        <v>4324922</v>
      </c>
      <c r="E252">
        <v>108754</v>
      </c>
      <c r="F252">
        <v>152371</v>
      </c>
      <c r="G252">
        <v>509789</v>
      </c>
      <c r="H252">
        <v>15.13</v>
      </c>
      <c r="I252">
        <v>89673.58</v>
      </c>
    </row>
    <row r="253" spans="1:9" x14ac:dyDescent="0.3">
      <c r="A253" t="s">
        <v>41</v>
      </c>
      <c r="B253" s="7">
        <v>45778</v>
      </c>
      <c r="C253">
        <v>9699905</v>
      </c>
      <c r="D253">
        <v>8395024</v>
      </c>
      <c r="E253">
        <v>221426</v>
      </c>
      <c r="F253">
        <v>225828</v>
      </c>
      <c r="G253">
        <v>857627</v>
      </c>
      <c r="H253">
        <v>13.45</v>
      </c>
      <c r="I253">
        <v>111499.26</v>
      </c>
    </row>
    <row r="254" spans="1:9" x14ac:dyDescent="0.3">
      <c r="A254" t="s">
        <v>49</v>
      </c>
      <c r="B254" s="7">
        <v>45778</v>
      </c>
      <c r="C254">
        <v>7402428</v>
      </c>
      <c r="D254">
        <v>6539675</v>
      </c>
      <c r="E254">
        <v>215991</v>
      </c>
      <c r="F254">
        <v>350045</v>
      </c>
      <c r="G254">
        <v>296717</v>
      </c>
      <c r="H254">
        <v>11.66</v>
      </c>
      <c r="I254">
        <v>146103.32</v>
      </c>
    </row>
    <row r="255" spans="1:9" x14ac:dyDescent="0.3">
      <c r="A255" t="s">
        <v>53</v>
      </c>
      <c r="B255" s="7">
        <v>45778</v>
      </c>
      <c r="C255">
        <v>3090905</v>
      </c>
      <c r="D255">
        <v>2777839</v>
      </c>
      <c r="E255">
        <v>29147</v>
      </c>
      <c r="F255">
        <v>133348</v>
      </c>
      <c r="G255">
        <v>150571</v>
      </c>
      <c r="H255">
        <v>10.130000000000001</v>
      </c>
      <c r="I255">
        <v>70930.11</v>
      </c>
    </row>
    <row r="256" spans="1:9" x14ac:dyDescent="0.3">
      <c r="A256" t="s">
        <v>52</v>
      </c>
      <c r="B256" s="7">
        <v>45778</v>
      </c>
      <c r="C256">
        <v>5095836</v>
      </c>
      <c r="D256">
        <v>4662810</v>
      </c>
      <c r="E256">
        <v>133045</v>
      </c>
      <c r="F256">
        <v>123056</v>
      </c>
      <c r="G256">
        <v>176925</v>
      </c>
      <c r="H256">
        <v>8.5</v>
      </c>
      <c r="I256">
        <v>89673.58</v>
      </c>
    </row>
    <row r="257" spans="1:9" x14ac:dyDescent="0.3">
      <c r="A257" t="s">
        <v>50</v>
      </c>
      <c r="B257" s="7">
        <v>45809</v>
      </c>
      <c r="C257">
        <v>7596849</v>
      </c>
      <c r="D257">
        <v>4974700</v>
      </c>
      <c r="E257">
        <v>38767</v>
      </c>
      <c r="F257">
        <v>374859</v>
      </c>
      <c r="G257">
        <v>2208523</v>
      </c>
      <c r="H257">
        <v>34.520000000000003</v>
      </c>
      <c r="I257">
        <v>116903.26</v>
      </c>
    </row>
    <row r="258" spans="1:9" x14ac:dyDescent="0.3">
      <c r="A258" t="s">
        <v>42</v>
      </c>
      <c r="B258" s="7">
        <v>45809</v>
      </c>
      <c r="C258">
        <v>5804654</v>
      </c>
      <c r="D258">
        <v>4009281</v>
      </c>
      <c r="E258">
        <v>173806</v>
      </c>
      <c r="F258">
        <v>228185</v>
      </c>
      <c r="G258">
        <v>1393382</v>
      </c>
      <c r="H258">
        <v>30.93</v>
      </c>
      <c r="I258">
        <v>126826.29</v>
      </c>
    </row>
    <row r="259" spans="1:9" x14ac:dyDescent="0.3">
      <c r="A259" t="s">
        <v>40</v>
      </c>
      <c r="B259" s="7">
        <v>45809</v>
      </c>
      <c r="C259">
        <v>7596849</v>
      </c>
      <c r="D259">
        <v>5283024</v>
      </c>
      <c r="E259">
        <v>188966</v>
      </c>
      <c r="F259">
        <v>203372</v>
      </c>
      <c r="G259">
        <v>1921487</v>
      </c>
      <c r="H259">
        <v>30.46</v>
      </c>
      <c r="I259">
        <v>116903.26</v>
      </c>
    </row>
    <row r="260" spans="1:9" x14ac:dyDescent="0.3">
      <c r="A260" t="s">
        <v>49</v>
      </c>
      <c r="B260" s="7">
        <v>45809</v>
      </c>
      <c r="C260">
        <v>5804654</v>
      </c>
      <c r="D260">
        <v>4044474</v>
      </c>
      <c r="E260">
        <v>145241</v>
      </c>
      <c r="F260">
        <v>168049</v>
      </c>
      <c r="G260">
        <v>1446890</v>
      </c>
      <c r="H260">
        <v>30.32</v>
      </c>
      <c r="I260">
        <v>126826.29</v>
      </c>
    </row>
    <row r="261" spans="1:9" x14ac:dyDescent="0.3">
      <c r="A261" t="s">
        <v>38</v>
      </c>
      <c r="B261" s="7">
        <v>45809</v>
      </c>
      <c r="C261">
        <v>13552242</v>
      </c>
      <c r="D261">
        <v>9514474</v>
      </c>
      <c r="E261">
        <v>105926</v>
      </c>
      <c r="F261">
        <v>359131</v>
      </c>
      <c r="G261">
        <v>3572711</v>
      </c>
      <c r="H261">
        <v>29.79</v>
      </c>
      <c r="I261">
        <v>345658.19</v>
      </c>
    </row>
    <row r="262" spans="1:9" x14ac:dyDescent="0.3">
      <c r="A262" t="s">
        <v>43</v>
      </c>
      <c r="B262" s="7">
        <v>45809</v>
      </c>
      <c r="C262">
        <v>5441233</v>
      </c>
      <c r="D262">
        <v>3922911</v>
      </c>
      <c r="E262">
        <v>144491</v>
      </c>
      <c r="F262">
        <v>127756</v>
      </c>
      <c r="G262">
        <v>1246075</v>
      </c>
      <c r="H262">
        <v>27.9</v>
      </c>
      <c r="I262">
        <v>59601.54</v>
      </c>
    </row>
    <row r="263" spans="1:9" x14ac:dyDescent="0.3">
      <c r="A263" t="s">
        <v>53</v>
      </c>
      <c r="B263" s="7">
        <v>45809</v>
      </c>
      <c r="C263">
        <v>3258503</v>
      </c>
      <c r="D263">
        <v>2458864</v>
      </c>
      <c r="E263">
        <v>65214</v>
      </c>
      <c r="F263">
        <v>180220</v>
      </c>
      <c r="G263">
        <v>554205</v>
      </c>
      <c r="H263">
        <v>24.54</v>
      </c>
      <c r="I263">
        <v>56080.959999999999</v>
      </c>
    </row>
    <row r="264" spans="1:9" x14ac:dyDescent="0.3">
      <c r="A264" t="s">
        <v>52</v>
      </c>
      <c r="B264" s="7">
        <v>45809</v>
      </c>
      <c r="C264">
        <v>5441233</v>
      </c>
      <c r="D264">
        <v>4372654</v>
      </c>
      <c r="E264">
        <v>86809</v>
      </c>
      <c r="F264">
        <v>241878</v>
      </c>
      <c r="G264">
        <v>739892</v>
      </c>
      <c r="H264">
        <v>19.64</v>
      </c>
      <c r="I264">
        <v>59601.54</v>
      </c>
    </row>
    <row r="265" spans="1:9" x14ac:dyDescent="0.3">
      <c r="A265" t="s">
        <v>48</v>
      </c>
      <c r="B265" s="7">
        <v>45809</v>
      </c>
      <c r="C265">
        <v>13552242</v>
      </c>
      <c r="D265">
        <v>10900082</v>
      </c>
      <c r="E265">
        <v>400724</v>
      </c>
      <c r="F265">
        <v>350974</v>
      </c>
      <c r="G265">
        <v>1900462</v>
      </c>
      <c r="H265">
        <v>19.57</v>
      </c>
      <c r="I265">
        <v>345658.19</v>
      </c>
    </row>
    <row r="266" spans="1:9" x14ac:dyDescent="0.3">
      <c r="A266" t="s">
        <v>41</v>
      </c>
      <c r="B266" s="7">
        <v>45809</v>
      </c>
      <c r="C266">
        <v>8494851</v>
      </c>
      <c r="D266">
        <v>6975574</v>
      </c>
      <c r="E266">
        <v>199555</v>
      </c>
      <c r="F266">
        <v>277502</v>
      </c>
      <c r="G266">
        <v>1042220</v>
      </c>
      <c r="H266">
        <v>17.88</v>
      </c>
      <c r="I266">
        <v>124667.9</v>
      </c>
    </row>
    <row r="267" spans="1:9" x14ac:dyDescent="0.3">
      <c r="A267" t="s">
        <v>44</v>
      </c>
      <c r="B267" s="7">
        <v>45809</v>
      </c>
      <c r="C267">
        <v>3258503</v>
      </c>
      <c r="D267">
        <v>2689912</v>
      </c>
      <c r="E267">
        <v>52144</v>
      </c>
      <c r="F267">
        <v>159331</v>
      </c>
      <c r="G267">
        <v>357116</v>
      </c>
      <c r="H267">
        <v>17.45</v>
      </c>
      <c r="I267">
        <v>56080.959999999999</v>
      </c>
    </row>
    <row r="268" spans="1:9" x14ac:dyDescent="0.3">
      <c r="A268" t="s">
        <v>47</v>
      </c>
      <c r="B268" s="7">
        <v>45809</v>
      </c>
      <c r="C268">
        <v>3869709</v>
      </c>
      <c r="D268">
        <v>3276809</v>
      </c>
      <c r="E268">
        <v>111136</v>
      </c>
      <c r="F268">
        <v>224241</v>
      </c>
      <c r="G268">
        <v>257523</v>
      </c>
      <c r="H268">
        <v>15.32</v>
      </c>
      <c r="I268">
        <v>113998.79</v>
      </c>
    </row>
    <row r="269" spans="1:9" x14ac:dyDescent="0.3">
      <c r="A269" t="s">
        <v>45</v>
      </c>
      <c r="B269" s="7">
        <v>45809</v>
      </c>
      <c r="C269">
        <v>8494851</v>
      </c>
      <c r="D269">
        <v>7363686</v>
      </c>
      <c r="E269">
        <v>194111</v>
      </c>
      <c r="F269">
        <v>392701</v>
      </c>
      <c r="G269">
        <v>544353</v>
      </c>
      <c r="H269">
        <v>13.32</v>
      </c>
      <c r="I269">
        <v>124667.9</v>
      </c>
    </row>
    <row r="270" spans="1:9" x14ac:dyDescent="0.3">
      <c r="A270" t="s">
        <v>46</v>
      </c>
      <c r="B270" s="7">
        <v>45809</v>
      </c>
      <c r="C270">
        <v>5439173</v>
      </c>
      <c r="D270">
        <v>4860847</v>
      </c>
      <c r="E270">
        <v>87493</v>
      </c>
      <c r="F270">
        <v>136804</v>
      </c>
      <c r="G270">
        <v>354029</v>
      </c>
      <c r="H270">
        <v>10.63</v>
      </c>
      <c r="I270">
        <v>124289.64</v>
      </c>
    </row>
    <row r="271" spans="1:9" x14ac:dyDescent="0.3">
      <c r="A271" t="s">
        <v>39</v>
      </c>
      <c r="B271" s="7">
        <v>45809</v>
      </c>
      <c r="C271">
        <v>13552242</v>
      </c>
      <c r="D271">
        <v>12239040</v>
      </c>
      <c r="E271">
        <v>313403</v>
      </c>
      <c r="F271">
        <v>332216</v>
      </c>
      <c r="G271">
        <v>667583</v>
      </c>
      <c r="H271">
        <v>9.69</v>
      </c>
      <c r="I271">
        <v>345658.19</v>
      </c>
    </row>
    <row r="272" spans="1:9" x14ac:dyDescent="0.3">
      <c r="A272" t="s">
        <v>47</v>
      </c>
      <c r="B272" s="7">
        <v>45839</v>
      </c>
      <c r="C272">
        <v>4299075</v>
      </c>
      <c r="D272">
        <v>2831987</v>
      </c>
      <c r="E272">
        <v>86238</v>
      </c>
      <c r="F272">
        <v>244365</v>
      </c>
      <c r="G272">
        <v>1136485</v>
      </c>
      <c r="H272">
        <v>34.130000000000003</v>
      </c>
      <c r="I272">
        <v>116727.08</v>
      </c>
    </row>
    <row r="273" spans="1:9" x14ac:dyDescent="0.3">
      <c r="A273" t="s">
        <v>46</v>
      </c>
      <c r="B273" s="7">
        <v>45839</v>
      </c>
      <c r="C273">
        <v>4843530</v>
      </c>
      <c r="D273">
        <v>3308530</v>
      </c>
      <c r="E273">
        <v>138316</v>
      </c>
      <c r="F273">
        <v>106681</v>
      </c>
      <c r="G273">
        <v>1290003</v>
      </c>
      <c r="H273">
        <v>31.69</v>
      </c>
      <c r="I273">
        <v>136849.51999999999</v>
      </c>
    </row>
    <row r="274" spans="1:9" x14ac:dyDescent="0.3">
      <c r="A274" t="s">
        <v>50</v>
      </c>
      <c r="B274" s="7">
        <v>45839</v>
      </c>
      <c r="C274">
        <v>10923691</v>
      </c>
      <c r="D274">
        <v>7480667</v>
      </c>
      <c r="E274">
        <v>159363</v>
      </c>
      <c r="F274">
        <v>475692</v>
      </c>
      <c r="G274">
        <v>2807969</v>
      </c>
      <c r="H274">
        <v>31.52</v>
      </c>
      <c r="I274">
        <v>309494.84000000003</v>
      </c>
    </row>
    <row r="275" spans="1:9" x14ac:dyDescent="0.3">
      <c r="A275" t="s">
        <v>38</v>
      </c>
      <c r="B275" s="7">
        <v>45839</v>
      </c>
      <c r="C275">
        <v>14815006</v>
      </c>
      <c r="D275">
        <v>10374559</v>
      </c>
      <c r="E275">
        <v>346899</v>
      </c>
      <c r="F275">
        <v>764909</v>
      </c>
      <c r="G275">
        <v>3328639</v>
      </c>
      <c r="H275">
        <v>29.97</v>
      </c>
      <c r="I275">
        <v>197430.91</v>
      </c>
    </row>
    <row r="276" spans="1:9" x14ac:dyDescent="0.3">
      <c r="A276" t="s">
        <v>41</v>
      </c>
      <c r="B276" s="7">
        <v>45839</v>
      </c>
      <c r="C276">
        <v>6315282</v>
      </c>
      <c r="D276">
        <v>4863264</v>
      </c>
      <c r="E276">
        <v>151779</v>
      </c>
      <c r="F276">
        <v>152130</v>
      </c>
      <c r="G276">
        <v>1148109</v>
      </c>
      <c r="H276">
        <v>22.99</v>
      </c>
      <c r="I276">
        <v>147303.23000000001</v>
      </c>
    </row>
    <row r="277" spans="1:9" x14ac:dyDescent="0.3">
      <c r="A277" t="s">
        <v>44</v>
      </c>
      <c r="B277" s="7">
        <v>45839</v>
      </c>
      <c r="C277">
        <v>2845233</v>
      </c>
      <c r="D277">
        <v>2322678</v>
      </c>
      <c r="E277">
        <v>45693</v>
      </c>
      <c r="F277">
        <v>81629</v>
      </c>
      <c r="G277">
        <v>395233</v>
      </c>
      <c r="H277">
        <v>18.37</v>
      </c>
      <c r="I277">
        <v>61774.92</v>
      </c>
    </row>
    <row r="278" spans="1:9" x14ac:dyDescent="0.3">
      <c r="A278" t="s">
        <v>39</v>
      </c>
      <c r="B278" s="7">
        <v>45839</v>
      </c>
      <c r="C278">
        <v>14815006</v>
      </c>
      <c r="D278">
        <v>12694007</v>
      </c>
      <c r="E278">
        <v>401396</v>
      </c>
      <c r="F278">
        <v>305571</v>
      </c>
      <c r="G278">
        <v>1414032</v>
      </c>
      <c r="H278">
        <v>14.32</v>
      </c>
      <c r="I278">
        <v>197430.91</v>
      </c>
    </row>
    <row r="279" spans="1:9" x14ac:dyDescent="0.3">
      <c r="A279" t="s">
        <v>43</v>
      </c>
      <c r="B279" s="7">
        <v>45839</v>
      </c>
      <c r="C279">
        <v>4876897</v>
      </c>
      <c r="D279">
        <v>4239047</v>
      </c>
      <c r="E279">
        <v>49973</v>
      </c>
      <c r="F279">
        <v>241428</v>
      </c>
      <c r="G279">
        <v>346449</v>
      </c>
      <c r="H279">
        <v>13.08</v>
      </c>
      <c r="I279">
        <v>123271.18</v>
      </c>
    </row>
    <row r="280" spans="1:9" x14ac:dyDescent="0.3">
      <c r="A280" t="s">
        <v>42</v>
      </c>
      <c r="B280" s="7">
        <v>45839</v>
      </c>
      <c r="C280">
        <v>7695562</v>
      </c>
      <c r="D280">
        <v>6729428</v>
      </c>
      <c r="E280">
        <v>178950</v>
      </c>
      <c r="F280">
        <v>261134</v>
      </c>
      <c r="G280">
        <v>526050</v>
      </c>
      <c r="H280">
        <v>12.55</v>
      </c>
      <c r="I280">
        <v>160061.93</v>
      </c>
    </row>
    <row r="281" spans="1:9" x14ac:dyDescent="0.3">
      <c r="A281" t="s">
        <v>52</v>
      </c>
      <c r="B281" s="7">
        <v>45839</v>
      </c>
      <c r="C281">
        <v>4876897</v>
      </c>
      <c r="D281">
        <v>4305790</v>
      </c>
      <c r="E281">
        <v>131670</v>
      </c>
      <c r="F281">
        <v>239412</v>
      </c>
      <c r="G281">
        <v>200025</v>
      </c>
      <c r="H281">
        <v>11.71</v>
      </c>
      <c r="I281">
        <v>123271.18</v>
      </c>
    </row>
    <row r="282" spans="1:9" x14ac:dyDescent="0.3">
      <c r="A282" t="s">
        <v>45</v>
      </c>
      <c r="B282" s="7">
        <v>45839</v>
      </c>
      <c r="C282">
        <v>6315282</v>
      </c>
      <c r="D282">
        <v>5666581</v>
      </c>
      <c r="E282">
        <v>82088</v>
      </c>
      <c r="F282">
        <v>334961</v>
      </c>
      <c r="G282">
        <v>231652</v>
      </c>
      <c r="H282">
        <v>10.27</v>
      </c>
      <c r="I282">
        <v>147303.23000000001</v>
      </c>
    </row>
    <row r="283" spans="1:9" x14ac:dyDescent="0.3">
      <c r="A283" t="s">
        <v>40</v>
      </c>
      <c r="B283" s="7">
        <v>45839</v>
      </c>
      <c r="C283">
        <v>10923691</v>
      </c>
      <c r="D283">
        <v>9804699</v>
      </c>
      <c r="E283">
        <v>202671</v>
      </c>
      <c r="F283">
        <v>498910</v>
      </c>
      <c r="G283">
        <v>417411</v>
      </c>
      <c r="H283">
        <v>10.24</v>
      </c>
      <c r="I283">
        <v>309494.84000000003</v>
      </c>
    </row>
    <row r="284" spans="1:9" x14ac:dyDescent="0.3">
      <c r="A284" t="s">
        <v>48</v>
      </c>
      <c r="B284" s="7">
        <v>45839</v>
      </c>
      <c r="C284">
        <v>14815006</v>
      </c>
      <c r="D284">
        <v>13426048</v>
      </c>
      <c r="E284">
        <v>135988</v>
      </c>
      <c r="F284">
        <v>421866</v>
      </c>
      <c r="G284">
        <v>831104</v>
      </c>
      <c r="H284">
        <v>9.3800000000000008</v>
      </c>
      <c r="I284">
        <v>197430.91</v>
      </c>
    </row>
    <row r="285" spans="1:9" x14ac:dyDescent="0.3">
      <c r="A285" t="s">
        <v>49</v>
      </c>
      <c r="B285" s="7">
        <v>45839</v>
      </c>
      <c r="C285">
        <v>7695562</v>
      </c>
      <c r="D285">
        <v>7011400</v>
      </c>
      <c r="E285">
        <v>162134</v>
      </c>
      <c r="F285">
        <v>284368</v>
      </c>
      <c r="G285">
        <v>237660</v>
      </c>
      <c r="H285">
        <v>8.89</v>
      </c>
      <c r="I285">
        <v>160061.93</v>
      </c>
    </row>
    <row r="286" spans="1:9" x14ac:dyDescent="0.3">
      <c r="A286" t="s">
        <v>53</v>
      </c>
      <c r="B286" s="7">
        <v>45839</v>
      </c>
      <c r="C286">
        <v>2845233</v>
      </c>
      <c r="D286">
        <v>2601866</v>
      </c>
      <c r="E286">
        <v>79375</v>
      </c>
      <c r="F286">
        <v>143670</v>
      </c>
      <c r="G286">
        <v>20322</v>
      </c>
      <c r="H286">
        <v>8.5500000000000007</v>
      </c>
      <c r="I286">
        <v>61774.92</v>
      </c>
    </row>
    <row r="287" spans="1:9" x14ac:dyDescent="0.3">
      <c r="A287" t="s">
        <v>39</v>
      </c>
      <c r="B287" s="7">
        <v>45870</v>
      </c>
      <c r="C287">
        <v>14524355</v>
      </c>
      <c r="D287">
        <v>9572502</v>
      </c>
      <c r="E287">
        <v>289682</v>
      </c>
      <c r="F287">
        <v>699078</v>
      </c>
      <c r="G287">
        <v>3963093</v>
      </c>
      <c r="H287">
        <v>34.090000000000003</v>
      </c>
      <c r="I287">
        <v>247476.34</v>
      </c>
    </row>
    <row r="288" spans="1:9" x14ac:dyDescent="0.3">
      <c r="A288" t="s">
        <v>48</v>
      </c>
      <c r="B288" s="7">
        <v>45870</v>
      </c>
      <c r="C288">
        <v>14524355</v>
      </c>
      <c r="D288">
        <v>9748158</v>
      </c>
      <c r="E288">
        <v>320670</v>
      </c>
      <c r="F288">
        <v>407796</v>
      </c>
      <c r="G288">
        <v>4047731</v>
      </c>
      <c r="H288">
        <v>32.880000000000003</v>
      </c>
      <c r="I288">
        <v>247476.34</v>
      </c>
    </row>
    <row r="289" spans="1:9" x14ac:dyDescent="0.3">
      <c r="A289" t="s">
        <v>52</v>
      </c>
      <c r="B289" s="7">
        <v>45870</v>
      </c>
      <c r="C289">
        <v>3467898</v>
      </c>
      <c r="D289">
        <v>2359880</v>
      </c>
      <c r="E289">
        <v>52996</v>
      </c>
      <c r="F289">
        <v>75735</v>
      </c>
      <c r="G289">
        <v>979287</v>
      </c>
      <c r="H289">
        <v>31.95</v>
      </c>
      <c r="I289">
        <v>88146.29</v>
      </c>
    </row>
    <row r="290" spans="1:9" x14ac:dyDescent="0.3">
      <c r="A290" t="s">
        <v>44</v>
      </c>
      <c r="B290" s="7">
        <v>45870</v>
      </c>
      <c r="C290">
        <v>2985170</v>
      </c>
      <c r="D290">
        <v>2039624</v>
      </c>
      <c r="E290">
        <v>69405</v>
      </c>
      <c r="F290">
        <v>101679</v>
      </c>
      <c r="G290">
        <v>774462</v>
      </c>
      <c r="H290">
        <v>31.67</v>
      </c>
      <c r="I290">
        <v>59561.56</v>
      </c>
    </row>
    <row r="291" spans="1:9" x14ac:dyDescent="0.3">
      <c r="A291" t="s">
        <v>38</v>
      </c>
      <c r="B291" s="7">
        <v>45870</v>
      </c>
      <c r="C291">
        <v>14524355</v>
      </c>
      <c r="D291">
        <v>10129047</v>
      </c>
      <c r="E291">
        <v>383496</v>
      </c>
      <c r="F291">
        <v>811645</v>
      </c>
      <c r="G291">
        <v>3200167</v>
      </c>
      <c r="H291">
        <v>30.26</v>
      </c>
      <c r="I291">
        <v>247476.34</v>
      </c>
    </row>
    <row r="292" spans="1:9" x14ac:dyDescent="0.3">
      <c r="A292" t="s">
        <v>49</v>
      </c>
      <c r="B292" s="7">
        <v>45870</v>
      </c>
      <c r="C292">
        <v>5731933</v>
      </c>
      <c r="D292">
        <v>4115755</v>
      </c>
      <c r="E292">
        <v>95536</v>
      </c>
      <c r="F292">
        <v>269904</v>
      </c>
      <c r="G292">
        <v>1250738</v>
      </c>
      <c r="H292">
        <v>28.2</v>
      </c>
      <c r="I292">
        <v>167583.32</v>
      </c>
    </row>
    <row r="293" spans="1:9" x14ac:dyDescent="0.3">
      <c r="A293" t="s">
        <v>53</v>
      </c>
      <c r="B293" s="7">
        <v>45870</v>
      </c>
      <c r="C293">
        <v>2985170</v>
      </c>
      <c r="D293">
        <v>2305352</v>
      </c>
      <c r="E293">
        <v>24879</v>
      </c>
      <c r="F293">
        <v>108988</v>
      </c>
      <c r="G293">
        <v>545951</v>
      </c>
      <c r="H293">
        <v>22.77</v>
      </c>
      <c r="I293">
        <v>59561.56</v>
      </c>
    </row>
    <row r="294" spans="1:9" x14ac:dyDescent="0.3">
      <c r="A294" t="s">
        <v>42</v>
      </c>
      <c r="B294" s="7">
        <v>45870</v>
      </c>
      <c r="C294">
        <v>5731933</v>
      </c>
      <c r="D294">
        <v>4532245</v>
      </c>
      <c r="E294">
        <v>78570</v>
      </c>
      <c r="F294">
        <v>137021</v>
      </c>
      <c r="G294">
        <v>984097</v>
      </c>
      <c r="H294">
        <v>20.93</v>
      </c>
      <c r="I294">
        <v>167583.32</v>
      </c>
    </row>
    <row r="295" spans="1:9" x14ac:dyDescent="0.3">
      <c r="A295" t="s">
        <v>41</v>
      </c>
      <c r="B295" s="7">
        <v>45870</v>
      </c>
      <c r="C295">
        <v>8953947</v>
      </c>
      <c r="D295">
        <v>7166613</v>
      </c>
      <c r="E295">
        <v>159478</v>
      </c>
      <c r="F295">
        <v>216074</v>
      </c>
      <c r="G295">
        <v>1411782</v>
      </c>
      <c r="H295">
        <v>19.96</v>
      </c>
      <c r="I295">
        <v>155089.01</v>
      </c>
    </row>
    <row r="296" spans="1:9" x14ac:dyDescent="0.3">
      <c r="A296" t="s">
        <v>47</v>
      </c>
      <c r="B296" s="7">
        <v>45870</v>
      </c>
      <c r="C296">
        <v>2856061</v>
      </c>
      <c r="D296">
        <v>2292556</v>
      </c>
      <c r="E296">
        <v>81161</v>
      </c>
      <c r="F296">
        <v>73188</v>
      </c>
      <c r="G296">
        <v>409156</v>
      </c>
      <c r="H296">
        <v>19.73</v>
      </c>
      <c r="I296">
        <v>72400.55</v>
      </c>
    </row>
    <row r="297" spans="1:9" x14ac:dyDescent="0.3">
      <c r="A297" t="s">
        <v>43</v>
      </c>
      <c r="B297" s="7">
        <v>45870</v>
      </c>
      <c r="C297">
        <v>3467898</v>
      </c>
      <c r="D297">
        <v>2846617</v>
      </c>
      <c r="E297">
        <v>31729</v>
      </c>
      <c r="F297">
        <v>88672</v>
      </c>
      <c r="G297">
        <v>500880</v>
      </c>
      <c r="H297">
        <v>17.920000000000002</v>
      </c>
      <c r="I297">
        <v>88146.29</v>
      </c>
    </row>
    <row r="298" spans="1:9" x14ac:dyDescent="0.3">
      <c r="A298" t="s">
        <v>45</v>
      </c>
      <c r="B298" s="7">
        <v>45870</v>
      </c>
      <c r="C298">
        <v>8953947</v>
      </c>
      <c r="D298">
        <v>7447874</v>
      </c>
      <c r="E298">
        <v>56560</v>
      </c>
      <c r="F298">
        <v>259014</v>
      </c>
      <c r="G298">
        <v>1190499</v>
      </c>
      <c r="H298">
        <v>16.82</v>
      </c>
      <c r="I298">
        <v>155089.01</v>
      </c>
    </row>
    <row r="299" spans="1:9" x14ac:dyDescent="0.3">
      <c r="A299" t="s">
        <v>46</v>
      </c>
      <c r="B299" s="7">
        <v>45870</v>
      </c>
      <c r="C299">
        <v>4275873</v>
      </c>
      <c r="D299">
        <v>3615662</v>
      </c>
      <c r="E299">
        <v>74413</v>
      </c>
      <c r="F299">
        <v>150977</v>
      </c>
      <c r="G299">
        <v>434821</v>
      </c>
      <c r="H299">
        <v>15.44</v>
      </c>
      <c r="I299">
        <v>93585.84</v>
      </c>
    </row>
    <row r="300" spans="1:9" x14ac:dyDescent="0.3">
      <c r="A300" t="s">
        <v>40</v>
      </c>
      <c r="B300" s="7">
        <v>45870</v>
      </c>
      <c r="C300">
        <v>10400507</v>
      </c>
      <c r="D300">
        <v>9137971</v>
      </c>
      <c r="E300">
        <v>297763</v>
      </c>
      <c r="F300">
        <v>486001</v>
      </c>
      <c r="G300">
        <v>478772</v>
      </c>
      <c r="H300">
        <v>12.14</v>
      </c>
      <c r="I300">
        <v>247324.51</v>
      </c>
    </row>
    <row r="301" spans="1:9" x14ac:dyDescent="0.3">
      <c r="A301" t="s">
        <v>50</v>
      </c>
      <c r="B301" s="7">
        <v>45870</v>
      </c>
      <c r="C301">
        <v>10400507</v>
      </c>
      <c r="D301">
        <v>9423744</v>
      </c>
      <c r="E301">
        <v>170549</v>
      </c>
      <c r="F301">
        <v>424460</v>
      </c>
      <c r="G301">
        <v>381754</v>
      </c>
      <c r="H301">
        <v>9.39</v>
      </c>
      <c r="I301">
        <v>247324.51</v>
      </c>
    </row>
    <row r="302" spans="1:9" x14ac:dyDescent="0.3">
      <c r="A302" t="s">
        <v>43</v>
      </c>
      <c r="B302" s="7">
        <v>45901</v>
      </c>
      <c r="C302">
        <v>5273151</v>
      </c>
      <c r="D302">
        <v>3512058</v>
      </c>
      <c r="E302">
        <v>72613</v>
      </c>
      <c r="F302">
        <v>164751</v>
      </c>
      <c r="G302">
        <v>1523729</v>
      </c>
      <c r="H302">
        <v>33.4</v>
      </c>
      <c r="I302">
        <v>125854.35</v>
      </c>
    </row>
    <row r="303" spans="1:9" x14ac:dyDescent="0.3">
      <c r="A303" t="s">
        <v>42</v>
      </c>
      <c r="B303" s="7">
        <v>45901</v>
      </c>
      <c r="C303">
        <v>7665757</v>
      </c>
      <c r="D303">
        <v>5121776</v>
      </c>
      <c r="E303">
        <v>46892</v>
      </c>
      <c r="F303">
        <v>371261</v>
      </c>
      <c r="G303">
        <v>2125828</v>
      </c>
      <c r="H303">
        <v>33.19</v>
      </c>
      <c r="I303">
        <v>137419.82</v>
      </c>
    </row>
    <row r="304" spans="1:9" x14ac:dyDescent="0.3">
      <c r="A304" t="s">
        <v>45</v>
      </c>
      <c r="B304" s="7">
        <v>45901</v>
      </c>
      <c r="C304">
        <v>7262004</v>
      </c>
      <c r="D304">
        <v>4855449</v>
      </c>
      <c r="E304">
        <v>120747</v>
      </c>
      <c r="F304">
        <v>227244</v>
      </c>
      <c r="G304">
        <v>2058564</v>
      </c>
      <c r="H304">
        <v>33.14</v>
      </c>
      <c r="I304">
        <v>93103.16</v>
      </c>
    </row>
    <row r="305" spans="1:9" x14ac:dyDescent="0.3">
      <c r="A305" t="s">
        <v>38</v>
      </c>
      <c r="B305" s="7">
        <v>45901</v>
      </c>
      <c r="C305">
        <v>9731336</v>
      </c>
      <c r="D305">
        <v>6553268</v>
      </c>
      <c r="E305">
        <v>211475</v>
      </c>
      <c r="F305">
        <v>266553</v>
      </c>
      <c r="G305">
        <v>2700040</v>
      </c>
      <c r="H305">
        <v>32.659999999999997</v>
      </c>
      <c r="I305">
        <v>124251.19</v>
      </c>
    </row>
    <row r="306" spans="1:9" x14ac:dyDescent="0.3">
      <c r="A306" t="s">
        <v>49</v>
      </c>
      <c r="B306" s="7">
        <v>45901</v>
      </c>
      <c r="C306">
        <v>7665757</v>
      </c>
      <c r="D306">
        <v>5194502</v>
      </c>
      <c r="E306">
        <v>136357</v>
      </c>
      <c r="F306">
        <v>356413</v>
      </c>
      <c r="G306">
        <v>1978485</v>
      </c>
      <c r="H306">
        <v>32.24</v>
      </c>
      <c r="I306">
        <v>137419.82</v>
      </c>
    </row>
    <row r="307" spans="1:9" x14ac:dyDescent="0.3">
      <c r="A307" t="s">
        <v>44</v>
      </c>
      <c r="B307" s="7">
        <v>45901</v>
      </c>
      <c r="C307">
        <v>3017725</v>
      </c>
      <c r="D307">
        <v>2163414</v>
      </c>
      <c r="E307">
        <v>63720</v>
      </c>
      <c r="F307">
        <v>90310</v>
      </c>
      <c r="G307">
        <v>700281</v>
      </c>
      <c r="H307">
        <v>28.31</v>
      </c>
      <c r="I307">
        <v>69630.880000000005</v>
      </c>
    </row>
    <row r="308" spans="1:9" x14ac:dyDescent="0.3">
      <c r="A308" t="s">
        <v>53</v>
      </c>
      <c r="B308" s="7">
        <v>45901</v>
      </c>
      <c r="C308">
        <v>3017725</v>
      </c>
      <c r="D308">
        <v>2205071</v>
      </c>
      <c r="E308">
        <v>68011</v>
      </c>
      <c r="F308">
        <v>164249</v>
      </c>
      <c r="G308">
        <v>580394</v>
      </c>
      <c r="H308">
        <v>26.93</v>
      </c>
      <c r="I308">
        <v>69630.880000000005</v>
      </c>
    </row>
    <row r="309" spans="1:9" x14ac:dyDescent="0.3">
      <c r="A309" t="s">
        <v>39</v>
      </c>
      <c r="B309" s="7">
        <v>45901</v>
      </c>
      <c r="C309">
        <v>9731336</v>
      </c>
      <c r="D309">
        <v>7382304</v>
      </c>
      <c r="E309">
        <v>105667</v>
      </c>
      <c r="F309">
        <v>279199</v>
      </c>
      <c r="G309">
        <v>1964166</v>
      </c>
      <c r="H309">
        <v>24.14</v>
      </c>
      <c r="I309">
        <v>124251.19</v>
      </c>
    </row>
    <row r="310" spans="1:9" x14ac:dyDescent="0.3">
      <c r="A310" t="s">
        <v>48</v>
      </c>
      <c r="B310" s="7">
        <v>45901</v>
      </c>
      <c r="C310">
        <v>9731336</v>
      </c>
      <c r="D310">
        <v>7888832</v>
      </c>
      <c r="E310">
        <v>126446</v>
      </c>
      <c r="F310">
        <v>477654</v>
      </c>
      <c r="G310">
        <v>1238404</v>
      </c>
      <c r="H310">
        <v>18.93</v>
      </c>
      <c r="I310">
        <v>124251.19</v>
      </c>
    </row>
    <row r="311" spans="1:9" x14ac:dyDescent="0.3">
      <c r="A311" t="s">
        <v>41</v>
      </c>
      <c r="B311" s="7">
        <v>45901</v>
      </c>
      <c r="C311">
        <v>7262004</v>
      </c>
      <c r="D311">
        <v>5890717</v>
      </c>
      <c r="E311">
        <v>178724</v>
      </c>
      <c r="F311">
        <v>396133</v>
      </c>
      <c r="G311">
        <v>796430</v>
      </c>
      <c r="H311">
        <v>18.88</v>
      </c>
      <c r="I311">
        <v>93103.16</v>
      </c>
    </row>
    <row r="312" spans="1:9" x14ac:dyDescent="0.3">
      <c r="A312" t="s">
        <v>52</v>
      </c>
      <c r="B312" s="7">
        <v>45901</v>
      </c>
      <c r="C312">
        <v>5273151</v>
      </c>
      <c r="D312">
        <v>4430677</v>
      </c>
      <c r="E312">
        <v>115736</v>
      </c>
      <c r="F312">
        <v>267354</v>
      </c>
      <c r="G312">
        <v>459384</v>
      </c>
      <c r="H312">
        <v>15.98</v>
      </c>
      <c r="I312">
        <v>125854.35</v>
      </c>
    </row>
    <row r="313" spans="1:9" x14ac:dyDescent="0.3">
      <c r="A313" t="s">
        <v>40</v>
      </c>
      <c r="B313" s="7">
        <v>45901</v>
      </c>
      <c r="C313">
        <v>7817835</v>
      </c>
      <c r="D313">
        <v>6860049</v>
      </c>
      <c r="E313">
        <v>84321</v>
      </c>
      <c r="F313">
        <v>377498</v>
      </c>
      <c r="G313">
        <v>495967</v>
      </c>
      <c r="H313">
        <v>12.25</v>
      </c>
      <c r="I313">
        <v>254755.87</v>
      </c>
    </row>
    <row r="314" spans="1:9" x14ac:dyDescent="0.3">
      <c r="A314" t="s">
        <v>46</v>
      </c>
      <c r="B314" s="7">
        <v>45901</v>
      </c>
      <c r="C314">
        <v>4386696</v>
      </c>
      <c r="D314">
        <v>3927155</v>
      </c>
      <c r="E314">
        <v>52090</v>
      </c>
      <c r="F314">
        <v>165994</v>
      </c>
      <c r="G314">
        <v>241457</v>
      </c>
      <c r="H314">
        <v>10.48</v>
      </c>
      <c r="I314">
        <v>121755.74</v>
      </c>
    </row>
    <row r="315" spans="1:9" x14ac:dyDescent="0.3">
      <c r="A315" t="s">
        <v>47</v>
      </c>
      <c r="B315" s="7">
        <v>45901</v>
      </c>
      <c r="C315">
        <v>3548030</v>
      </c>
      <c r="D315">
        <v>3247307</v>
      </c>
      <c r="E315">
        <v>32631</v>
      </c>
      <c r="F315">
        <v>196606</v>
      </c>
      <c r="G315">
        <v>71486</v>
      </c>
      <c r="H315">
        <v>8.48</v>
      </c>
      <c r="I315">
        <v>63069.83</v>
      </c>
    </row>
    <row r="316" spans="1:9" x14ac:dyDescent="0.3">
      <c r="A316" t="s">
        <v>50</v>
      </c>
      <c r="B316" s="7">
        <v>45901</v>
      </c>
      <c r="C316">
        <v>7817835</v>
      </c>
      <c r="D316">
        <v>7182851</v>
      </c>
      <c r="E316">
        <v>106074</v>
      </c>
      <c r="F316">
        <v>438231</v>
      </c>
      <c r="G316">
        <v>90679</v>
      </c>
      <c r="H316">
        <v>8.1199999999999992</v>
      </c>
      <c r="I316">
        <v>254755.87</v>
      </c>
    </row>
    <row r="317" spans="1:9" x14ac:dyDescent="0.3">
      <c r="A317" t="s">
        <v>38</v>
      </c>
      <c r="B317" s="7">
        <v>45931</v>
      </c>
      <c r="C317">
        <v>11587843</v>
      </c>
      <c r="D317">
        <v>7553467</v>
      </c>
      <c r="E317">
        <v>169059</v>
      </c>
      <c r="F317">
        <v>438824</v>
      </c>
      <c r="G317">
        <v>3426493</v>
      </c>
      <c r="H317">
        <v>34.82</v>
      </c>
      <c r="I317">
        <v>323852.81</v>
      </c>
    </row>
    <row r="318" spans="1:9" x14ac:dyDescent="0.3">
      <c r="A318" t="s">
        <v>42</v>
      </c>
      <c r="B318" s="7">
        <v>45931</v>
      </c>
      <c r="C318">
        <v>6987030</v>
      </c>
      <c r="D318">
        <v>4747881</v>
      </c>
      <c r="E318">
        <v>174684</v>
      </c>
      <c r="F318">
        <v>399636</v>
      </c>
      <c r="G318">
        <v>1664829</v>
      </c>
      <c r="H318">
        <v>32.049999999999997</v>
      </c>
      <c r="I318">
        <v>241962.96</v>
      </c>
    </row>
    <row r="319" spans="1:9" x14ac:dyDescent="0.3">
      <c r="A319" t="s">
        <v>53</v>
      </c>
      <c r="B319" s="7">
        <v>45931</v>
      </c>
      <c r="C319">
        <v>2275378</v>
      </c>
      <c r="D319">
        <v>1612520</v>
      </c>
      <c r="E319">
        <v>23306</v>
      </c>
      <c r="F319">
        <v>110527</v>
      </c>
      <c r="G319">
        <v>529025</v>
      </c>
      <c r="H319">
        <v>29.13</v>
      </c>
      <c r="I319">
        <v>38403.199999999997</v>
      </c>
    </row>
    <row r="320" spans="1:9" x14ac:dyDescent="0.3">
      <c r="A320" t="s">
        <v>44</v>
      </c>
      <c r="B320" s="7">
        <v>45931</v>
      </c>
      <c r="C320">
        <v>2275378</v>
      </c>
      <c r="D320">
        <v>1654037</v>
      </c>
      <c r="E320">
        <v>64921</v>
      </c>
      <c r="F320">
        <v>47948</v>
      </c>
      <c r="G320">
        <v>508472</v>
      </c>
      <c r="H320">
        <v>27.31</v>
      </c>
      <c r="I320">
        <v>38403.199999999997</v>
      </c>
    </row>
    <row r="321" spans="1:9" x14ac:dyDescent="0.3">
      <c r="A321" t="s">
        <v>43</v>
      </c>
      <c r="B321" s="7">
        <v>45931</v>
      </c>
      <c r="C321">
        <v>3955506</v>
      </c>
      <c r="D321">
        <v>2883608</v>
      </c>
      <c r="E321">
        <v>76414</v>
      </c>
      <c r="F321">
        <v>229798</v>
      </c>
      <c r="G321">
        <v>765686</v>
      </c>
      <c r="H321">
        <v>27.1</v>
      </c>
      <c r="I321">
        <v>59899.38</v>
      </c>
    </row>
    <row r="322" spans="1:9" x14ac:dyDescent="0.3">
      <c r="A322" t="s">
        <v>40</v>
      </c>
      <c r="B322" s="7">
        <v>45931</v>
      </c>
      <c r="C322">
        <v>9839790</v>
      </c>
      <c r="D322">
        <v>7387361</v>
      </c>
      <c r="E322">
        <v>201183</v>
      </c>
      <c r="F322">
        <v>459224</v>
      </c>
      <c r="G322">
        <v>1792022</v>
      </c>
      <c r="H322">
        <v>24.92</v>
      </c>
      <c r="I322">
        <v>295378.32</v>
      </c>
    </row>
    <row r="323" spans="1:9" x14ac:dyDescent="0.3">
      <c r="A323" t="s">
        <v>39</v>
      </c>
      <c r="B323" s="7">
        <v>45931</v>
      </c>
      <c r="C323">
        <v>11587843</v>
      </c>
      <c r="D323">
        <v>9108645</v>
      </c>
      <c r="E323">
        <v>141737</v>
      </c>
      <c r="F323">
        <v>609884</v>
      </c>
      <c r="G323">
        <v>1727577</v>
      </c>
      <c r="H323">
        <v>21.39</v>
      </c>
      <c r="I323">
        <v>323852.81</v>
      </c>
    </row>
    <row r="324" spans="1:9" x14ac:dyDescent="0.3">
      <c r="A324" t="s">
        <v>45</v>
      </c>
      <c r="B324" s="7">
        <v>45931</v>
      </c>
      <c r="C324">
        <v>8549253</v>
      </c>
      <c r="D324">
        <v>6833714</v>
      </c>
      <c r="E324">
        <v>44449</v>
      </c>
      <c r="F324">
        <v>239608</v>
      </c>
      <c r="G324">
        <v>1431482</v>
      </c>
      <c r="H324">
        <v>20.07</v>
      </c>
      <c r="I324">
        <v>143033.65</v>
      </c>
    </row>
    <row r="325" spans="1:9" x14ac:dyDescent="0.3">
      <c r="A325" t="s">
        <v>48</v>
      </c>
      <c r="B325" s="7">
        <v>45931</v>
      </c>
      <c r="C325">
        <v>11587843</v>
      </c>
      <c r="D325">
        <v>9272804</v>
      </c>
      <c r="E325">
        <v>217867</v>
      </c>
      <c r="F325">
        <v>628813</v>
      </c>
      <c r="G325">
        <v>1468359</v>
      </c>
      <c r="H325">
        <v>19.98</v>
      </c>
      <c r="I325">
        <v>323852.81</v>
      </c>
    </row>
    <row r="326" spans="1:9" x14ac:dyDescent="0.3">
      <c r="A326" t="s">
        <v>46</v>
      </c>
      <c r="B326" s="7">
        <v>45931</v>
      </c>
      <c r="C326">
        <v>7085423</v>
      </c>
      <c r="D326">
        <v>5785841</v>
      </c>
      <c r="E326">
        <v>150083</v>
      </c>
      <c r="F326">
        <v>283102</v>
      </c>
      <c r="G326">
        <v>866397</v>
      </c>
      <c r="H326">
        <v>18.34</v>
      </c>
      <c r="I326">
        <v>101648.9</v>
      </c>
    </row>
    <row r="327" spans="1:9" x14ac:dyDescent="0.3">
      <c r="A327" t="s">
        <v>47</v>
      </c>
      <c r="B327" s="7">
        <v>45931</v>
      </c>
      <c r="C327">
        <v>4716190</v>
      </c>
      <c r="D327">
        <v>3879338</v>
      </c>
      <c r="E327">
        <v>128121</v>
      </c>
      <c r="F327">
        <v>178579</v>
      </c>
      <c r="G327">
        <v>530152</v>
      </c>
      <c r="H327">
        <v>17.739999999999998</v>
      </c>
      <c r="I327">
        <v>168081.01</v>
      </c>
    </row>
    <row r="328" spans="1:9" x14ac:dyDescent="0.3">
      <c r="A328" t="s">
        <v>49</v>
      </c>
      <c r="B328" s="7">
        <v>45931</v>
      </c>
      <c r="C328">
        <v>6987030</v>
      </c>
      <c r="D328">
        <v>5762779</v>
      </c>
      <c r="E328">
        <v>141321</v>
      </c>
      <c r="F328">
        <v>223159</v>
      </c>
      <c r="G328">
        <v>859771</v>
      </c>
      <c r="H328">
        <v>17.52</v>
      </c>
      <c r="I328">
        <v>241962.96</v>
      </c>
    </row>
    <row r="329" spans="1:9" x14ac:dyDescent="0.3">
      <c r="A329" t="s">
        <v>41</v>
      </c>
      <c r="B329" s="7">
        <v>45931</v>
      </c>
      <c r="C329">
        <v>8549253</v>
      </c>
      <c r="D329">
        <v>7355569</v>
      </c>
      <c r="E329">
        <v>197668</v>
      </c>
      <c r="F329">
        <v>362329</v>
      </c>
      <c r="G329">
        <v>633687</v>
      </c>
      <c r="H329">
        <v>13.96</v>
      </c>
      <c r="I329">
        <v>143033.65</v>
      </c>
    </row>
    <row r="330" spans="1:9" x14ac:dyDescent="0.3">
      <c r="A330" t="s">
        <v>50</v>
      </c>
      <c r="B330" s="7">
        <v>45931</v>
      </c>
      <c r="C330">
        <v>9839790</v>
      </c>
      <c r="D330">
        <v>8914680</v>
      </c>
      <c r="E330">
        <v>275072</v>
      </c>
      <c r="F330">
        <v>355567</v>
      </c>
      <c r="G330">
        <v>294471</v>
      </c>
      <c r="H330">
        <v>9.4</v>
      </c>
      <c r="I330">
        <v>295378.32</v>
      </c>
    </row>
    <row r="331" spans="1:9" x14ac:dyDescent="0.3">
      <c r="A331" t="s">
        <v>52</v>
      </c>
      <c r="B331" s="7">
        <v>45931</v>
      </c>
      <c r="C331">
        <v>3955506</v>
      </c>
      <c r="D331">
        <v>3615458</v>
      </c>
      <c r="E331">
        <v>86016</v>
      </c>
      <c r="F331">
        <v>132636</v>
      </c>
      <c r="G331">
        <v>121396</v>
      </c>
      <c r="H331">
        <v>8.6</v>
      </c>
      <c r="I331">
        <v>59899.38</v>
      </c>
    </row>
    <row r="332" spans="1:9" x14ac:dyDescent="0.3">
      <c r="A332" t="s">
        <v>47</v>
      </c>
      <c r="B332" s="7">
        <v>45962</v>
      </c>
      <c r="C332">
        <v>3750333</v>
      </c>
      <c r="D332">
        <v>2506364</v>
      </c>
      <c r="E332">
        <v>42815</v>
      </c>
      <c r="F332">
        <v>91213</v>
      </c>
      <c r="G332">
        <v>1109941</v>
      </c>
      <c r="H332">
        <v>33.17</v>
      </c>
      <c r="I332">
        <v>119624.59</v>
      </c>
    </row>
    <row r="333" spans="1:9" x14ac:dyDescent="0.3">
      <c r="A333" t="s">
        <v>46</v>
      </c>
      <c r="B333" s="7">
        <v>45962</v>
      </c>
      <c r="C333">
        <v>4677961</v>
      </c>
      <c r="D333">
        <v>3151471</v>
      </c>
      <c r="E333">
        <v>68183</v>
      </c>
      <c r="F333">
        <v>172005</v>
      </c>
      <c r="G333">
        <v>1286302</v>
      </c>
      <c r="H333">
        <v>32.630000000000003</v>
      </c>
      <c r="I333">
        <v>69693.78</v>
      </c>
    </row>
    <row r="334" spans="1:9" x14ac:dyDescent="0.3">
      <c r="A334" t="s">
        <v>43</v>
      </c>
      <c r="B334" s="7">
        <v>45962</v>
      </c>
      <c r="C334">
        <v>4626712</v>
      </c>
      <c r="D334">
        <v>3126319</v>
      </c>
      <c r="E334">
        <v>134495</v>
      </c>
      <c r="F334">
        <v>237940</v>
      </c>
      <c r="G334">
        <v>1127958</v>
      </c>
      <c r="H334">
        <v>32.43</v>
      </c>
      <c r="I334">
        <v>85065.9</v>
      </c>
    </row>
    <row r="335" spans="1:9" x14ac:dyDescent="0.3">
      <c r="A335" t="s">
        <v>52</v>
      </c>
      <c r="B335" s="7">
        <v>45962</v>
      </c>
      <c r="C335">
        <v>4626712</v>
      </c>
      <c r="D335">
        <v>3126340</v>
      </c>
      <c r="E335">
        <v>99672</v>
      </c>
      <c r="F335">
        <v>138538</v>
      </c>
      <c r="G335">
        <v>1262162</v>
      </c>
      <c r="H335">
        <v>32.43</v>
      </c>
      <c r="I335">
        <v>85065.9</v>
      </c>
    </row>
    <row r="336" spans="1:9" x14ac:dyDescent="0.3">
      <c r="A336" t="s">
        <v>50</v>
      </c>
      <c r="B336" s="7">
        <v>45962</v>
      </c>
      <c r="C336">
        <v>9446344</v>
      </c>
      <c r="D336">
        <v>6678766</v>
      </c>
      <c r="E336">
        <v>52406</v>
      </c>
      <c r="F336">
        <v>379604</v>
      </c>
      <c r="G336">
        <v>2335568</v>
      </c>
      <c r="H336">
        <v>29.3</v>
      </c>
      <c r="I336">
        <v>133516.66</v>
      </c>
    </row>
    <row r="337" spans="1:9" x14ac:dyDescent="0.3">
      <c r="A337" t="s">
        <v>40</v>
      </c>
      <c r="B337" s="7">
        <v>45962</v>
      </c>
      <c r="C337">
        <v>9446344</v>
      </c>
      <c r="D337">
        <v>7384402</v>
      </c>
      <c r="E337">
        <v>48793</v>
      </c>
      <c r="F337">
        <v>397367</v>
      </c>
      <c r="G337">
        <v>1615782</v>
      </c>
      <c r="H337">
        <v>21.83</v>
      </c>
      <c r="I337">
        <v>133516.66</v>
      </c>
    </row>
    <row r="338" spans="1:9" x14ac:dyDescent="0.3">
      <c r="A338" t="s">
        <v>44</v>
      </c>
      <c r="B338" s="7">
        <v>45962</v>
      </c>
      <c r="C338">
        <v>2584078</v>
      </c>
      <c r="D338">
        <v>2040884</v>
      </c>
      <c r="E338">
        <v>45836</v>
      </c>
      <c r="F338">
        <v>128981</v>
      </c>
      <c r="G338">
        <v>368377</v>
      </c>
      <c r="H338">
        <v>21.02</v>
      </c>
      <c r="I338">
        <v>45746.64</v>
      </c>
    </row>
    <row r="339" spans="1:9" x14ac:dyDescent="0.3">
      <c r="A339" t="s">
        <v>41</v>
      </c>
      <c r="B339" s="7">
        <v>45962</v>
      </c>
      <c r="C339">
        <v>6096086</v>
      </c>
      <c r="D339">
        <v>4820164</v>
      </c>
      <c r="E339">
        <v>134924</v>
      </c>
      <c r="F339">
        <v>163253</v>
      </c>
      <c r="G339">
        <v>977745</v>
      </c>
      <c r="H339">
        <v>20.93</v>
      </c>
      <c r="I339">
        <v>195774.81</v>
      </c>
    </row>
    <row r="340" spans="1:9" x14ac:dyDescent="0.3">
      <c r="A340" t="s">
        <v>42</v>
      </c>
      <c r="B340" s="7">
        <v>45962</v>
      </c>
      <c r="C340">
        <v>4815403</v>
      </c>
      <c r="D340">
        <v>3847582</v>
      </c>
      <c r="E340">
        <v>63923</v>
      </c>
      <c r="F340">
        <v>178433</v>
      </c>
      <c r="G340">
        <v>725465</v>
      </c>
      <c r="H340">
        <v>20.100000000000001</v>
      </c>
      <c r="I340">
        <v>130651.1</v>
      </c>
    </row>
    <row r="341" spans="1:9" x14ac:dyDescent="0.3">
      <c r="A341" t="s">
        <v>38</v>
      </c>
      <c r="B341" s="7">
        <v>45962</v>
      </c>
      <c r="C341">
        <v>15138366</v>
      </c>
      <c r="D341">
        <v>12220663</v>
      </c>
      <c r="E341">
        <v>292502</v>
      </c>
      <c r="F341">
        <v>461146</v>
      </c>
      <c r="G341">
        <v>2164055</v>
      </c>
      <c r="H341">
        <v>19.27</v>
      </c>
      <c r="I341">
        <v>274569.88</v>
      </c>
    </row>
    <row r="342" spans="1:9" x14ac:dyDescent="0.3">
      <c r="A342" t="s">
        <v>39</v>
      </c>
      <c r="B342" s="7">
        <v>45962</v>
      </c>
      <c r="C342">
        <v>15138366</v>
      </c>
      <c r="D342">
        <v>12283841</v>
      </c>
      <c r="E342">
        <v>330217</v>
      </c>
      <c r="F342">
        <v>496941</v>
      </c>
      <c r="G342">
        <v>2027367</v>
      </c>
      <c r="H342">
        <v>18.86</v>
      </c>
      <c r="I342">
        <v>274569.88</v>
      </c>
    </row>
    <row r="343" spans="1:9" x14ac:dyDescent="0.3">
      <c r="A343" t="s">
        <v>45</v>
      </c>
      <c r="B343" s="7">
        <v>45962</v>
      </c>
      <c r="C343">
        <v>6096086</v>
      </c>
      <c r="D343">
        <v>4987413</v>
      </c>
      <c r="E343">
        <v>101183</v>
      </c>
      <c r="F343">
        <v>266201</v>
      </c>
      <c r="G343">
        <v>741289</v>
      </c>
      <c r="H343">
        <v>18.190000000000001</v>
      </c>
      <c r="I343">
        <v>195774.81</v>
      </c>
    </row>
    <row r="344" spans="1:9" x14ac:dyDescent="0.3">
      <c r="A344" t="s">
        <v>48</v>
      </c>
      <c r="B344" s="7">
        <v>45962</v>
      </c>
      <c r="C344">
        <v>15138366</v>
      </c>
      <c r="D344">
        <v>12702773</v>
      </c>
      <c r="E344">
        <v>298065</v>
      </c>
      <c r="F344">
        <v>776105</v>
      </c>
      <c r="G344">
        <v>1361423</v>
      </c>
      <c r="H344">
        <v>16.09</v>
      </c>
      <c r="I344">
        <v>274569.88</v>
      </c>
    </row>
    <row r="345" spans="1:9" x14ac:dyDescent="0.3">
      <c r="A345" t="s">
        <v>53</v>
      </c>
      <c r="B345" s="7">
        <v>45962</v>
      </c>
      <c r="C345">
        <v>2584078</v>
      </c>
      <c r="D345">
        <v>2364329</v>
      </c>
      <c r="E345">
        <v>54917</v>
      </c>
      <c r="F345">
        <v>150737</v>
      </c>
      <c r="G345">
        <v>14095</v>
      </c>
      <c r="H345">
        <v>8.5</v>
      </c>
      <c r="I345">
        <v>45746.64</v>
      </c>
    </row>
    <row r="346" spans="1:9" x14ac:dyDescent="0.3">
      <c r="A346" t="s">
        <v>49</v>
      </c>
      <c r="B346" s="7">
        <v>45962</v>
      </c>
      <c r="C346">
        <v>4815403</v>
      </c>
      <c r="D346">
        <v>4415038</v>
      </c>
      <c r="E346">
        <v>101195</v>
      </c>
      <c r="F346">
        <v>262245</v>
      </c>
      <c r="G346">
        <v>36925</v>
      </c>
      <c r="H346">
        <v>8.31</v>
      </c>
      <c r="I346">
        <v>130651.1</v>
      </c>
    </row>
    <row r="347" spans="1:9" x14ac:dyDescent="0.3">
      <c r="A347" t="s">
        <v>41</v>
      </c>
      <c r="B347" s="7">
        <v>45992</v>
      </c>
      <c r="C347">
        <v>5948823</v>
      </c>
      <c r="D347">
        <v>4101132</v>
      </c>
      <c r="E347">
        <v>54611</v>
      </c>
      <c r="F347">
        <v>184642</v>
      </c>
      <c r="G347">
        <v>1608438</v>
      </c>
      <c r="H347">
        <v>31.06</v>
      </c>
      <c r="I347">
        <v>155029.87</v>
      </c>
    </row>
    <row r="348" spans="1:9" x14ac:dyDescent="0.3">
      <c r="A348" t="s">
        <v>45</v>
      </c>
      <c r="B348" s="7">
        <v>45992</v>
      </c>
      <c r="C348">
        <v>5948823</v>
      </c>
      <c r="D348">
        <v>4180618</v>
      </c>
      <c r="E348">
        <v>163658</v>
      </c>
      <c r="F348">
        <v>299935</v>
      </c>
      <c r="G348">
        <v>1304612</v>
      </c>
      <c r="H348">
        <v>29.72</v>
      </c>
      <c r="I348">
        <v>155029.87</v>
      </c>
    </row>
    <row r="349" spans="1:9" x14ac:dyDescent="0.3">
      <c r="A349" t="s">
        <v>46</v>
      </c>
      <c r="B349" s="7">
        <v>45992</v>
      </c>
      <c r="C349">
        <v>4982660</v>
      </c>
      <c r="D349">
        <v>3573912</v>
      </c>
      <c r="E349">
        <v>148743</v>
      </c>
      <c r="F349">
        <v>208007</v>
      </c>
      <c r="G349">
        <v>1051998</v>
      </c>
      <c r="H349">
        <v>28.27</v>
      </c>
      <c r="I349">
        <v>111275.38</v>
      </c>
    </row>
    <row r="350" spans="1:9" x14ac:dyDescent="0.3">
      <c r="A350" t="s">
        <v>40</v>
      </c>
      <c r="B350" s="7">
        <v>45992</v>
      </c>
      <c r="C350">
        <v>12761046</v>
      </c>
      <c r="D350">
        <v>9241294</v>
      </c>
      <c r="E350">
        <v>375646</v>
      </c>
      <c r="F350">
        <v>263971</v>
      </c>
      <c r="G350">
        <v>2880135</v>
      </c>
      <c r="H350">
        <v>27.58</v>
      </c>
      <c r="I350">
        <v>343668.18</v>
      </c>
    </row>
    <row r="351" spans="1:9" x14ac:dyDescent="0.3">
      <c r="A351" t="s">
        <v>49</v>
      </c>
      <c r="B351" s="7">
        <v>45992</v>
      </c>
      <c r="C351">
        <v>5278666</v>
      </c>
      <c r="D351">
        <v>3856981</v>
      </c>
      <c r="E351">
        <v>46178</v>
      </c>
      <c r="F351">
        <v>267200</v>
      </c>
      <c r="G351">
        <v>1108307</v>
      </c>
      <c r="H351">
        <v>26.93</v>
      </c>
      <c r="I351">
        <v>115379.18</v>
      </c>
    </row>
    <row r="352" spans="1:9" x14ac:dyDescent="0.3">
      <c r="A352" t="s">
        <v>53</v>
      </c>
      <c r="B352" s="7">
        <v>45992</v>
      </c>
      <c r="C352">
        <v>3393723</v>
      </c>
      <c r="D352">
        <v>2501319</v>
      </c>
      <c r="E352">
        <v>26759</v>
      </c>
      <c r="F352">
        <v>115690</v>
      </c>
      <c r="G352">
        <v>749955</v>
      </c>
      <c r="H352">
        <v>26.3</v>
      </c>
      <c r="I352">
        <v>94954.84</v>
      </c>
    </row>
    <row r="353" spans="1:9" x14ac:dyDescent="0.3">
      <c r="A353" t="s">
        <v>52</v>
      </c>
      <c r="B353" s="7">
        <v>45992</v>
      </c>
      <c r="C353">
        <v>3517942</v>
      </c>
      <c r="D353">
        <v>2652235</v>
      </c>
      <c r="E353">
        <v>91381</v>
      </c>
      <c r="F353">
        <v>148927</v>
      </c>
      <c r="G353">
        <v>625399</v>
      </c>
      <c r="H353">
        <v>24.61</v>
      </c>
      <c r="I353">
        <v>84542.6</v>
      </c>
    </row>
    <row r="354" spans="1:9" x14ac:dyDescent="0.3">
      <c r="A354" t="s">
        <v>39</v>
      </c>
      <c r="B354" s="7">
        <v>45992</v>
      </c>
      <c r="C354">
        <v>11422942</v>
      </c>
      <c r="D354">
        <v>9032551</v>
      </c>
      <c r="E354">
        <v>175216</v>
      </c>
      <c r="F354">
        <v>354181</v>
      </c>
      <c r="G354">
        <v>1860994</v>
      </c>
      <c r="H354">
        <v>20.93</v>
      </c>
      <c r="I354">
        <v>202377.84</v>
      </c>
    </row>
    <row r="355" spans="1:9" x14ac:dyDescent="0.3">
      <c r="A355" t="s">
        <v>48</v>
      </c>
      <c r="B355" s="7">
        <v>45992</v>
      </c>
      <c r="C355">
        <v>11422942</v>
      </c>
      <c r="D355">
        <v>9172398</v>
      </c>
      <c r="E355">
        <v>223511</v>
      </c>
      <c r="F355">
        <v>669307</v>
      </c>
      <c r="G355">
        <v>1357726</v>
      </c>
      <c r="H355">
        <v>19.7</v>
      </c>
      <c r="I355">
        <v>202377.84</v>
      </c>
    </row>
    <row r="356" spans="1:9" x14ac:dyDescent="0.3">
      <c r="A356" t="s">
        <v>42</v>
      </c>
      <c r="B356" s="7">
        <v>45992</v>
      </c>
      <c r="C356">
        <v>5278666</v>
      </c>
      <c r="D356">
        <v>4328692</v>
      </c>
      <c r="E356">
        <v>50990</v>
      </c>
      <c r="F356">
        <v>244361</v>
      </c>
      <c r="G356">
        <v>654623</v>
      </c>
      <c r="H356">
        <v>18</v>
      </c>
      <c r="I356">
        <v>115379.18</v>
      </c>
    </row>
    <row r="357" spans="1:9" x14ac:dyDescent="0.3">
      <c r="A357" t="s">
        <v>43</v>
      </c>
      <c r="B357" s="7">
        <v>45992</v>
      </c>
      <c r="C357">
        <v>3517942</v>
      </c>
      <c r="D357">
        <v>2909661</v>
      </c>
      <c r="E357">
        <v>79279</v>
      </c>
      <c r="F357">
        <v>89030</v>
      </c>
      <c r="G357">
        <v>439972</v>
      </c>
      <c r="H357">
        <v>17.29</v>
      </c>
      <c r="I357">
        <v>84542.6</v>
      </c>
    </row>
    <row r="358" spans="1:9" x14ac:dyDescent="0.3">
      <c r="A358" t="s">
        <v>38</v>
      </c>
      <c r="B358" s="7">
        <v>45992</v>
      </c>
      <c r="C358">
        <v>11422942</v>
      </c>
      <c r="D358">
        <v>9484494</v>
      </c>
      <c r="E358">
        <v>190019</v>
      </c>
      <c r="F358">
        <v>301436</v>
      </c>
      <c r="G358">
        <v>1446993</v>
      </c>
      <c r="H358">
        <v>16.97</v>
      </c>
      <c r="I358">
        <v>202377.84</v>
      </c>
    </row>
    <row r="359" spans="1:9" x14ac:dyDescent="0.3">
      <c r="A359" t="s">
        <v>47</v>
      </c>
      <c r="B359" s="7">
        <v>45992</v>
      </c>
      <c r="C359">
        <v>3446527</v>
      </c>
      <c r="D359">
        <v>2921958</v>
      </c>
      <c r="E359">
        <v>100733</v>
      </c>
      <c r="F359">
        <v>190875</v>
      </c>
      <c r="G359">
        <v>232961</v>
      </c>
      <c r="H359">
        <v>15.22</v>
      </c>
      <c r="I359">
        <v>70354.33</v>
      </c>
    </row>
    <row r="360" spans="1:9" x14ac:dyDescent="0.3">
      <c r="A360" t="s">
        <v>50</v>
      </c>
      <c r="B360" s="7">
        <v>45992</v>
      </c>
      <c r="C360">
        <v>12761046</v>
      </c>
      <c r="D360">
        <v>11023940</v>
      </c>
      <c r="E360">
        <v>183501</v>
      </c>
      <c r="F360">
        <v>582067</v>
      </c>
      <c r="G360">
        <v>971538</v>
      </c>
      <c r="H360">
        <v>13.61</v>
      </c>
      <c r="I360">
        <v>343668.18</v>
      </c>
    </row>
    <row r="361" spans="1:9" x14ac:dyDescent="0.3">
      <c r="A361" t="s">
        <v>44</v>
      </c>
      <c r="B361" s="7">
        <v>45992</v>
      </c>
      <c r="C361">
        <v>3393723</v>
      </c>
      <c r="D361">
        <v>3028681</v>
      </c>
      <c r="E361">
        <v>97965</v>
      </c>
      <c r="F361">
        <v>135054</v>
      </c>
      <c r="G361">
        <v>132023</v>
      </c>
      <c r="H361">
        <v>10.76</v>
      </c>
      <c r="I361">
        <v>94954.84</v>
      </c>
    </row>
    <row r="363" spans="1:9" x14ac:dyDescent="0.3">
      <c r="C363">
        <f>SUM(C2:C362)</f>
        <v>2681326566</v>
      </c>
      <c r="E363">
        <f>SUM(E2:E362)</f>
        <v>47839487</v>
      </c>
      <c r="F363">
        <f>SUM(F2:F362)</f>
        <v>107563776</v>
      </c>
      <c r="G363">
        <f>SUM(ZoneWaterBalance[RealLoss_m3])</f>
        <v>421742469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3B95-75C8-4BD5-83FE-F99D0CB29074}">
  <dimension ref="A1:D7"/>
  <sheetViews>
    <sheetView workbookViewId="0">
      <selection activeCell="H28" sqref="H28"/>
    </sheetView>
  </sheetViews>
  <sheetFormatPr defaultRowHeight="14.4" x14ac:dyDescent="0.3"/>
  <cols>
    <col min="1" max="1" width="11.5546875" bestFit="1" customWidth="1"/>
    <col min="2" max="2" width="14.6640625" bestFit="1" customWidth="1"/>
    <col min="3" max="3" width="12.6640625" bestFit="1" customWidth="1"/>
    <col min="4" max="4" width="17.109375" bestFit="1" customWidth="1"/>
  </cols>
  <sheetData>
    <row r="1" spans="1:4" x14ac:dyDescent="0.3">
      <c r="A1" s="1" t="s">
        <v>2857</v>
      </c>
      <c r="B1" s="1" t="s">
        <v>2858</v>
      </c>
      <c r="C1" s="6" t="s">
        <v>18</v>
      </c>
      <c r="D1" s="1" t="s">
        <v>2856</v>
      </c>
    </row>
    <row r="2" spans="1:4" x14ac:dyDescent="0.3">
      <c r="A2" s="3" t="s">
        <v>0</v>
      </c>
      <c r="B2" s="2" t="s">
        <v>6</v>
      </c>
      <c r="C2" s="2" t="s">
        <v>12</v>
      </c>
      <c r="D2" s="2">
        <v>160000000</v>
      </c>
    </row>
    <row r="3" spans="1:4" x14ac:dyDescent="0.3">
      <c r="A3" s="3" t="s">
        <v>1</v>
      </c>
      <c r="B3" s="2" t="s">
        <v>7</v>
      </c>
      <c r="C3" s="2" t="s">
        <v>13</v>
      </c>
      <c r="D3" s="2">
        <v>110000000</v>
      </c>
    </row>
    <row r="4" spans="1:4" x14ac:dyDescent="0.3">
      <c r="A4" s="3" t="s">
        <v>2</v>
      </c>
      <c r="B4" s="2" t="s">
        <v>8</v>
      </c>
      <c r="C4" s="2" t="s">
        <v>14</v>
      </c>
      <c r="D4" s="2">
        <v>90000000</v>
      </c>
    </row>
    <row r="5" spans="1:4" x14ac:dyDescent="0.3">
      <c r="A5" s="3" t="s">
        <v>3</v>
      </c>
      <c r="B5" s="2" t="s">
        <v>9</v>
      </c>
      <c r="C5" s="2" t="s">
        <v>15</v>
      </c>
      <c r="D5" s="2">
        <v>70000000</v>
      </c>
    </row>
    <row r="6" spans="1:4" x14ac:dyDescent="0.3">
      <c r="A6" s="3" t="s">
        <v>4</v>
      </c>
      <c r="B6" s="2" t="s">
        <v>10</v>
      </c>
      <c r="C6" s="2" t="s">
        <v>16</v>
      </c>
      <c r="D6" s="2">
        <v>55000000</v>
      </c>
    </row>
    <row r="7" spans="1:4" x14ac:dyDescent="0.3">
      <c r="A7" s="4" t="s">
        <v>5</v>
      </c>
      <c r="B7" s="5" t="s">
        <v>11</v>
      </c>
      <c r="C7" s="5" t="s">
        <v>17</v>
      </c>
      <c r="D7" s="5">
        <v>200000000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293B-3F4B-4598-AD6A-1D0626D08886}">
  <dimension ref="A1:E9"/>
  <sheetViews>
    <sheetView workbookViewId="0"/>
  </sheetViews>
  <sheetFormatPr defaultRowHeight="14.4" x14ac:dyDescent="0.3"/>
  <cols>
    <col min="1" max="1" width="8.6640625" bestFit="1" customWidth="1"/>
    <col min="2" max="2" width="21.109375" bestFit="1" customWidth="1"/>
    <col min="3" max="3" width="9" bestFit="1" customWidth="1"/>
    <col min="4" max="4" width="11.88671875" bestFit="1" customWidth="1"/>
    <col min="5" max="5" width="23.44140625" customWidth="1"/>
  </cols>
  <sheetData>
    <row r="1" spans="1:5" x14ac:dyDescent="0.3">
      <c r="A1" s="1" t="s">
        <v>2860</v>
      </c>
      <c r="B1" s="1" t="s">
        <v>2861</v>
      </c>
      <c r="C1" s="1" t="s">
        <v>2857</v>
      </c>
      <c r="D1" s="1" t="s">
        <v>18</v>
      </c>
      <c r="E1" s="1" t="s">
        <v>2862</v>
      </c>
    </row>
    <row r="2" spans="1:5" x14ac:dyDescent="0.3">
      <c r="A2" t="s">
        <v>20</v>
      </c>
      <c r="B2" t="s">
        <v>28</v>
      </c>
      <c r="C2" t="s">
        <v>5</v>
      </c>
      <c r="D2" t="s">
        <v>17</v>
      </c>
      <c r="E2">
        <v>500000</v>
      </c>
    </row>
    <row r="3" spans="1:5" x14ac:dyDescent="0.3">
      <c r="A3" t="s">
        <v>21</v>
      </c>
      <c r="B3" t="s">
        <v>29</v>
      </c>
      <c r="C3" t="s">
        <v>0</v>
      </c>
      <c r="D3" t="s">
        <v>12</v>
      </c>
      <c r="E3">
        <v>400000</v>
      </c>
    </row>
    <row r="4" spans="1:5" x14ac:dyDescent="0.3">
      <c r="A4" t="s">
        <v>22</v>
      </c>
      <c r="B4" t="s">
        <v>30</v>
      </c>
      <c r="C4" t="s">
        <v>1</v>
      </c>
      <c r="D4" t="s">
        <v>13</v>
      </c>
      <c r="E4">
        <v>300000</v>
      </c>
    </row>
    <row r="5" spans="1:5" x14ac:dyDescent="0.3">
      <c r="A5" t="s">
        <v>23</v>
      </c>
      <c r="B5" t="s">
        <v>31</v>
      </c>
      <c r="C5" t="s">
        <v>2</v>
      </c>
      <c r="D5" t="s">
        <v>14</v>
      </c>
      <c r="E5">
        <v>250000</v>
      </c>
    </row>
    <row r="6" spans="1:5" x14ac:dyDescent="0.3">
      <c r="A6" t="s">
        <v>24</v>
      </c>
      <c r="B6" t="s">
        <v>32</v>
      </c>
      <c r="C6" t="s">
        <v>3</v>
      </c>
      <c r="D6" t="s">
        <v>15</v>
      </c>
      <c r="E6">
        <v>180000</v>
      </c>
    </row>
    <row r="7" spans="1:5" x14ac:dyDescent="0.3">
      <c r="A7" t="s">
        <v>25</v>
      </c>
      <c r="B7" t="s">
        <v>33</v>
      </c>
      <c r="C7" t="s">
        <v>4</v>
      </c>
      <c r="D7" t="s">
        <v>16</v>
      </c>
      <c r="E7">
        <v>120000</v>
      </c>
    </row>
    <row r="8" spans="1:5" x14ac:dyDescent="0.3">
      <c r="A8" t="s">
        <v>26</v>
      </c>
      <c r="B8" t="s">
        <v>34</v>
      </c>
      <c r="C8" t="s">
        <v>0</v>
      </c>
      <c r="D8" t="s">
        <v>36</v>
      </c>
      <c r="E8">
        <v>220000</v>
      </c>
    </row>
    <row r="9" spans="1:5" x14ac:dyDescent="0.3">
      <c r="A9" t="s">
        <v>27</v>
      </c>
      <c r="B9" t="s">
        <v>35</v>
      </c>
      <c r="C9" t="s">
        <v>5</v>
      </c>
      <c r="D9" t="s">
        <v>37</v>
      </c>
      <c r="E9">
        <v>150000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7DDC-20EA-4BF9-9EA5-91172049F283}">
  <dimension ref="A1:E16"/>
  <sheetViews>
    <sheetView workbookViewId="0">
      <selection activeCell="K17" sqref="K17"/>
    </sheetView>
  </sheetViews>
  <sheetFormatPr defaultRowHeight="14.4" x14ac:dyDescent="0.3"/>
  <cols>
    <col min="1" max="1" width="9" bestFit="1" customWidth="1"/>
    <col min="2" max="2" width="18.6640625" bestFit="1" customWidth="1"/>
    <col min="3" max="3" width="8.6640625" bestFit="1" customWidth="1"/>
    <col min="4" max="4" width="13.33203125" customWidth="1"/>
    <col min="5" max="5" width="11.44140625" customWidth="1"/>
  </cols>
  <sheetData>
    <row r="1" spans="1:5" x14ac:dyDescent="0.3">
      <c r="A1" s="1" t="s">
        <v>2863</v>
      </c>
      <c r="B1" s="1" t="s">
        <v>2864</v>
      </c>
      <c r="C1" s="1" t="s">
        <v>2860</v>
      </c>
      <c r="D1" s="1" t="s">
        <v>54</v>
      </c>
      <c r="E1" s="1" t="s">
        <v>2865</v>
      </c>
    </row>
    <row r="2" spans="1:5" x14ac:dyDescent="0.3">
      <c r="A2" t="s">
        <v>45</v>
      </c>
      <c r="B2" t="s">
        <v>2927</v>
      </c>
      <c r="C2" t="s">
        <v>22</v>
      </c>
      <c r="D2">
        <v>23390</v>
      </c>
      <c r="E2">
        <v>52.94</v>
      </c>
    </row>
    <row r="3" spans="1:5" x14ac:dyDescent="0.3">
      <c r="A3" t="s">
        <v>41</v>
      </c>
      <c r="B3" t="s">
        <v>2924</v>
      </c>
      <c r="C3" t="s">
        <v>22</v>
      </c>
      <c r="D3">
        <v>22870</v>
      </c>
      <c r="E3">
        <v>58.02</v>
      </c>
    </row>
    <row r="4" spans="1:5" x14ac:dyDescent="0.3">
      <c r="A4" t="s">
        <v>46</v>
      </c>
      <c r="B4" t="s">
        <v>2930</v>
      </c>
      <c r="C4" t="s">
        <v>26</v>
      </c>
      <c r="D4">
        <v>22856</v>
      </c>
      <c r="E4">
        <v>25.52</v>
      </c>
    </row>
    <row r="5" spans="1:5" x14ac:dyDescent="0.3">
      <c r="A5" t="s">
        <v>44</v>
      </c>
      <c r="B5" t="s">
        <v>16</v>
      </c>
      <c r="C5" t="s">
        <v>25</v>
      </c>
      <c r="D5">
        <v>21559</v>
      </c>
      <c r="E5">
        <v>26.87</v>
      </c>
    </row>
    <row r="6" spans="1:5" x14ac:dyDescent="0.3">
      <c r="A6" t="s">
        <v>47</v>
      </c>
      <c r="B6" t="s">
        <v>2923</v>
      </c>
      <c r="C6" t="s">
        <v>27</v>
      </c>
      <c r="D6">
        <v>19719</v>
      </c>
      <c r="E6">
        <v>40.53</v>
      </c>
    </row>
    <row r="7" spans="1:5" x14ac:dyDescent="0.3">
      <c r="A7" t="s">
        <v>42</v>
      </c>
      <c r="B7" t="s">
        <v>2928</v>
      </c>
      <c r="C7" t="s">
        <v>23</v>
      </c>
      <c r="D7">
        <v>18825</v>
      </c>
      <c r="E7">
        <v>17.91</v>
      </c>
    </row>
    <row r="8" spans="1:5" x14ac:dyDescent="0.3">
      <c r="A8" t="s">
        <v>50</v>
      </c>
      <c r="B8" t="s">
        <v>2925</v>
      </c>
      <c r="C8" t="s">
        <v>21</v>
      </c>
      <c r="D8">
        <v>16149</v>
      </c>
      <c r="E8">
        <v>59.47</v>
      </c>
    </row>
    <row r="9" spans="1:5" x14ac:dyDescent="0.3">
      <c r="A9" t="s">
        <v>53</v>
      </c>
      <c r="B9" t="s">
        <v>12</v>
      </c>
      <c r="C9" t="s">
        <v>25</v>
      </c>
      <c r="D9">
        <v>16029</v>
      </c>
      <c r="E9">
        <v>77.09</v>
      </c>
    </row>
    <row r="10" spans="1:5" x14ac:dyDescent="0.3">
      <c r="A10" t="s">
        <v>39</v>
      </c>
      <c r="B10" t="s">
        <v>2926</v>
      </c>
      <c r="C10" t="s">
        <v>20</v>
      </c>
      <c r="D10">
        <v>13024</v>
      </c>
      <c r="E10">
        <v>62.43</v>
      </c>
    </row>
    <row r="11" spans="1:5" x14ac:dyDescent="0.3">
      <c r="A11" t="s">
        <v>52</v>
      </c>
      <c r="B11" t="s">
        <v>2922</v>
      </c>
      <c r="C11" t="s">
        <v>24</v>
      </c>
      <c r="D11">
        <v>12055</v>
      </c>
      <c r="E11">
        <v>30.9</v>
      </c>
    </row>
    <row r="12" spans="1:5" x14ac:dyDescent="0.3">
      <c r="A12" t="s">
        <v>49</v>
      </c>
      <c r="B12" t="s">
        <v>2921</v>
      </c>
      <c r="C12" t="s">
        <v>23</v>
      </c>
      <c r="D12">
        <v>10231</v>
      </c>
      <c r="E12">
        <v>63.6</v>
      </c>
    </row>
    <row r="13" spans="1:5" x14ac:dyDescent="0.3">
      <c r="A13" t="s">
        <v>40</v>
      </c>
      <c r="B13" t="s">
        <v>51</v>
      </c>
      <c r="C13" t="s">
        <v>21</v>
      </c>
      <c r="D13">
        <v>8358</v>
      </c>
      <c r="E13">
        <v>27.18</v>
      </c>
    </row>
    <row r="14" spans="1:5" x14ac:dyDescent="0.3">
      <c r="A14" t="s">
        <v>43</v>
      </c>
      <c r="B14" t="s">
        <v>2929</v>
      </c>
      <c r="C14" t="s">
        <v>24</v>
      </c>
      <c r="D14">
        <v>8070</v>
      </c>
      <c r="E14">
        <v>14.16</v>
      </c>
    </row>
    <row r="15" spans="1:5" x14ac:dyDescent="0.3">
      <c r="A15" t="s">
        <v>38</v>
      </c>
      <c r="B15" t="s">
        <v>14</v>
      </c>
      <c r="C15" t="s">
        <v>20</v>
      </c>
      <c r="D15">
        <v>5819</v>
      </c>
      <c r="E15">
        <v>55.48</v>
      </c>
    </row>
    <row r="16" spans="1:5" x14ac:dyDescent="0.3">
      <c r="A16" t="s">
        <v>48</v>
      </c>
      <c r="B16" t="s">
        <v>37</v>
      </c>
      <c r="C16" t="s">
        <v>20</v>
      </c>
      <c r="D16">
        <v>5212</v>
      </c>
      <c r="E16">
        <v>52.07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932-9ED3-4823-AE21-32C1E32375DC}">
  <dimension ref="A1:K886"/>
  <sheetViews>
    <sheetView topLeftCell="A862" zoomScaleNormal="100" workbookViewId="0">
      <selection activeCell="O13" sqref="O13"/>
    </sheetView>
  </sheetViews>
  <sheetFormatPr defaultRowHeight="14.4" x14ac:dyDescent="0.3"/>
  <cols>
    <col min="1" max="1" width="11" bestFit="1" customWidth="1"/>
    <col min="2" max="2" width="9" bestFit="1" customWidth="1"/>
    <col min="3" max="3" width="10.6640625" customWidth="1"/>
    <col min="4" max="4" width="12.109375" customWidth="1"/>
    <col min="5" max="5" width="20.44140625" customWidth="1"/>
    <col min="6" max="6" width="15.6640625" customWidth="1"/>
    <col min="7" max="7" width="18.6640625" bestFit="1" customWidth="1"/>
    <col min="8" max="8" width="11.33203125" bestFit="1" customWidth="1"/>
    <col min="9" max="9" width="16" customWidth="1"/>
    <col min="10" max="10" width="18" bestFit="1" customWidth="1"/>
    <col min="11" max="11" width="19.6640625" bestFit="1" customWidth="1"/>
  </cols>
  <sheetData>
    <row r="1" spans="1:11" x14ac:dyDescent="0.3">
      <c r="A1" s="1" t="s">
        <v>2872</v>
      </c>
      <c r="B1" s="1" t="s">
        <v>2863</v>
      </c>
      <c r="C1" s="1" t="s">
        <v>2873</v>
      </c>
      <c r="D1" s="1" t="s">
        <v>2874</v>
      </c>
      <c r="E1" s="1" t="s">
        <v>2893</v>
      </c>
      <c r="F1" s="1" t="s">
        <v>2875</v>
      </c>
      <c r="G1" s="1" t="s">
        <v>2876</v>
      </c>
      <c r="H1" s="1" t="s">
        <v>55</v>
      </c>
      <c r="I1" s="1" t="s">
        <v>56</v>
      </c>
      <c r="J1" s="1" t="s">
        <v>2877</v>
      </c>
      <c r="K1" s="1" t="s">
        <v>2878</v>
      </c>
    </row>
    <row r="2" spans="1:11" x14ac:dyDescent="0.3">
      <c r="A2" t="s">
        <v>60</v>
      </c>
      <c r="B2" t="s">
        <v>40</v>
      </c>
      <c r="C2" s="7">
        <v>45370</v>
      </c>
      <c r="D2" s="7">
        <v>45373</v>
      </c>
      <c r="E2">
        <v>3</v>
      </c>
      <c r="F2">
        <v>256685.05293214592</v>
      </c>
      <c r="G2">
        <v>11825.88</v>
      </c>
      <c r="H2" t="s">
        <v>61</v>
      </c>
      <c r="I2" t="s">
        <v>62</v>
      </c>
      <c r="J2">
        <v>10</v>
      </c>
      <c r="K2" t="s">
        <v>59</v>
      </c>
    </row>
    <row r="3" spans="1:11" x14ac:dyDescent="0.3">
      <c r="A3" t="s">
        <v>64</v>
      </c>
      <c r="B3" t="s">
        <v>41</v>
      </c>
      <c r="C3" s="7">
        <v>45904</v>
      </c>
      <c r="D3" s="7">
        <v>45917</v>
      </c>
      <c r="E3">
        <v>13</v>
      </c>
      <c r="F3">
        <v>432936.6222136913</v>
      </c>
      <c r="G3">
        <v>9318.41</v>
      </c>
      <c r="H3" t="s">
        <v>65</v>
      </c>
      <c r="I3" t="s">
        <v>58</v>
      </c>
      <c r="J3">
        <v>56</v>
      </c>
      <c r="K3" t="s">
        <v>66</v>
      </c>
    </row>
    <row r="4" spans="1:11" x14ac:dyDescent="0.3">
      <c r="A4" t="s">
        <v>72</v>
      </c>
      <c r="B4" t="s">
        <v>38</v>
      </c>
      <c r="C4" s="7">
        <v>45842</v>
      </c>
      <c r="D4" s="7">
        <v>45851</v>
      </c>
      <c r="E4">
        <v>9</v>
      </c>
      <c r="F4">
        <v>828191.70360961847</v>
      </c>
      <c r="G4">
        <v>12934.58</v>
      </c>
      <c r="H4" t="s">
        <v>68</v>
      </c>
      <c r="I4" t="s">
        <v>73</v>
      </c>
      <c r="J4">
        <v>59</v>
      </c>
      <c r="K4" t="s">
        <v>70</v>
      </c>
    </row>
    <row r="5" spans="1:11" x14ac:dyDescent="0.3">
      <c r="A5" t="s">
        <v>75</v>
      </c>
      <c r="B5" t="s">
        <v>50</v>
      </c>
      <c r="C5" s="7">
        <v>45934</v>
      </c>
      <c r="D5" s="7">
        <v>45941</v>
      </c>
      <c r="E5">
        <v>7</v>
      </c>
      <c r="F5">
        <v>171650.5430762108</v>
      </c>
      <c r="G5">
        <v>10303.35</v>
      </c>
      <c r="H5" t="s">
        <v>76</v>
      </c>
      <c r="I5" t="s">
        <v>73</v>
      </c>
      <c r="J5">
        <v>48</v>
      </c>
      <c r="K5" t="s">
        <v>77</v>
      </c>
    </row>
    <row r="6" spans="1:11" x14ac:dyDescent="0.3">
      <c r="A6" t="s">
        <v>78</v>
      </c>
      <c r="B6" t="s">
        <v>44</v>
      </c>
      <c r="C6" s="7">
        <v>45590</v>
      </c>
      <c r="D6" s="7">
        <v>45598</v>
      </c>
      <c r="E6">
        <v>8</v>
      </c>
      <c r="F6">
        <v>254084.11390524852</v>
      </c>
      <c r="G6">
        <v>2581.75</v>
      </c>
      <c r="H6" t="s">
        <v>79</v>
      </c>
      <c r="I6" t="s">
        <v>62</v>
      </c>
      <c r="J6">
        <v>1</v>
      </c>
      <c r="K6" t="s">
        <v>70</v>
      </c>
    </row>
    <row r="7" spans="1:11" x14ac:dyDescent="0.3">
      <c r="A7" t="s">
        <v>80</v>
      </c>
      <c r="B7" t="s">
        <v>49</v>
      </c>
      <c r="C7" s="7">
        <v>45510</v>
      </c>
      <c r="D7" s="7">
        <v>45524</v>
      </c>
      <c r="E7">
        <v>14</v>
      </c>
      <c r="F7">
        <v>309528.89324932272</v>
      </c>
      <c r="G7">
        <v>952.66</v>
      </c>
      <c r="H7" t="s">
        <v>65</v>
      </c>
      <c r="I7" t="s">
        <v>58</v>
      </c>
      <c r="J7">
        <v>54</v>
      </c>
      <c r="K7" t="s">
        <v>70</v>
      </c>
    </row>
    <row r="8" spans="1:11" x14ac:dyDescent="0.3">
      <c r="A8" t="s">
        <v>81</v>
      </c>
      <c r="B8" t="s">
        <v>50</v>
      </c>
      <c r="C8" s="7">
        <v>45949</v>
      </c>
      <c r="D8" s="7">
        <v>45950</v>
      </c>
      <c r="E8">
        <v>1</v>
      </c>
      <c r="F8">
        <v>747652.1499181164</v>
      </c>
      <c r="G8">
        <v>4904.3100000000004</v>
      </c>
      <c r="H8" t="s">
        <v>76</v>
      </c>
      <c r="I8" t="s">
        <v>73</v>
      </c>
      <c r="J8">
        <v>34</v>
      </c>
      <c r="K8" t="s">
        <v>59</v>
      </c>
    </row>
    <row r="9" spans="1:11" x14ac:dyDescent="0.3">
      <c r="A9" t="s">
        <v>82</v>
      </c>
      <c r="B9" t="s">
        <v>44</v>
      </c>
      <c r="C9" s="7">
        <v>45966</v>
      </c>
      <c r="D9" s="7">
        <v>45967</v>
      </c>
      <c r="E9">
        <v>1</v>
      </c>
      <c r="F9">
        <v>334950.76981869253</v>
      </c>
      <c r="G9">
        <v>13274.27</v>
      </c>
      <c r="H9" t="s">
        <v>65</v>
      </c>
      <c r="I9" t="s">
        <v>62</v>
      </c>
      <c r="J9">
        <v>22</v>
      </c>
      <c r="K9" t="s">
        <v>70</v>
      </c>
    </row>
    <row r="10" spans="1:11" x14ac:dyDescent="0.3">
      <c r="A10" t="s">
        <v>84</v>
      </c>
      <c r="B10" t="s">
        <v>42</v>
      </c>
      <c r="C10" s="7">
        <v>45848</v>
      </c>
      <c r="D10" s="7">
        <v>45848</v>
      </c>
      <c r="E10">
        <v>0</v>
      </c>
      <c r="F10">
        <v>868533.88754915865</v>
      </c>
      <c r="G10">
        <v>12367.21</v>
      </c>
      <c r="H10" t="s">
        <v>61</v>
      </c>
      <c r="I10" t="s">
        <v>58</v>
      </c>
      <c r="J10">
        <v>52</v>
      </c>
      <c r="K10" t="s">
        <v>77</v>
      </c>
    </row>
    <row r="11" spans="1:11" x14ac:dyDescent="0.3">
      <c r="A11" t="s">
        <v>85</v>
      </c>
      <c r="B11" t="s">
        <v>45</v>
      </c>
      <c r="C11" s="7">
        <v>45968</v>
      </c>
      <c r="D11" s="7">
        <v>45971</v>
      </c>
      <c r="E11">
        <v>3</v>
      </c>
      <c r="F11">
        <v>307328.73383804737</v>
      </c>
      <c r="G11">
        <v>1418.71</v>
      </c>
      <c r="H11" t="s">
        <v>57</v>
      </c>
      <c r="I11" t="s">
        <v>73</v>
      </c>
      <c r="J11">
        <v>50</v>
      </c>
      <c r="K11" t="s">
        <v>77</v>
      </c>
    </row>
    <row r="12" spans="1:11" x14ac:dyDescent="0.3">
      <c r="A12" t="s">
        <v>86</v>
      </c>
      <c r="B12" t="s">
        <v>48</v>
      </c>
      <c r="C12" s="7">
        <v>46015</v>
      </c>
      <c r="D12" s="7">
        <v>46025</v>
      </c>
      <c r="E12">
        <v>10</v>
      </c>
      <c r="F12">
        <v>737729.83746922947</v>
      </c>
      <c r="G12">
        <v>13001.27</v>
      </c>
      <c r="H12" t="s">
        <v>68</v>
      </c>
      <c r="I12" t="s">
        <v>83</v>
      </c>
      <c r="J12">
        <v>14</v>
      </c>
      <c r="K12" t="s">
        <v>77</v>
      </c>
    </row>
    <row r="13" spans="1:11" x14ac:dyDescent="0.3">
      <c r="A13" t="s">
        <v>88</v>
      </c>
      <c r="B13" t="s">
        <v>50</v>
      </c>
      <c r="C13" s="7">
        <v>45502</v>
      </c>
      <c r="D13" s="7">
        <v>45511</v>
      </c>
      <c r="E13">
        <v>9</v>
      </c>
      <c r="F13">
        <v>783343.76595657156</v>
      </c>
      <c r="G13">
        <v>13682.6</v>
      </c>
      <c r="H13" t="s">
        <v>68</v>
      </c>
      <c r="I13" t="s">
        <v>69</v>
      </c>
      <c r="J13">
        <v>29</v>
      </c>
      <c r="K13" t="s">
        <v>89</v>
      </c>
    </row>
    <row r="14" spans="1:11" x14ac:dyDescent="0.3">
      <c r="A14" t="s">
        <v>90</v>
      </c>
      <c r="B14" t="s">
        <v>43</v>
      </c>
      <c r="C14" s="7">
        <v>45993</v>
      </c>
      <c r="D14" s="7">
        <v>45994</v>
      </c>
      <c r="E14">
        <v>1</v>
      </c>
      <c r="F14">
        <v>511027.0377152749</v>
      </c>
      <c r="G14">
        <v>9693.06</v>
      </c>
      <c r="H14" t="s">
        <v>91</v>
      </c>
      <c r="I14" t="s">
        <v>83</v>
      </c>
      <c r="J14">
        <v>49</v>
      </c>
      <c r="K14" t="s">
        <v>77</v>
      </c>
    </row>
    <row r="15" spans="1:11" x14ac:dyDescent="0.3">
      <c r="A15" t="s">
        <v>92</v>
      </c>
      <c r="B15" t="s">
        <v>49</v>
      </c>
      <c r="C15" s="7">
        <v>45848</v>
      </c>
      <c r="D15" s="7">
        <v>45849</v>
      </c>
      <c r="E15">
        <v>1</v>
      </c>
      <c r="F15">
        <v>278390.03202034271</v>
      </c>
      <c r="G15">
        <v>10351</v>
      </c>
      <c r="H15" t="s">
        <v>91</v>
      </c>
      <c r="I15" t="s">
        <v>83</v>
      </c>
      <c r="J15">
        <v>19</v>
      </c>
      <c r="K15" t="s">
        <v>89</v>
      </c>
    </row>
    <row r="16" spans="1:11" x14ac:dyDescent="0.3">
      <c r="A16" t="s">
        <v>93</v>
      </c>
      <c r="B16" t="s">
        <v>46</v>
      </c>
      <c r="C16" s="7">
        <v>45850</v>
      </c>
      <c r="D16" s="7">
        <v>45853</v>
      </c>
      <c r="E16">
        <v>3</v>
      </c>
      <c r="F16">
        <v>713719.899228747</v>
      </c>
      <c r="G16">
        <v>13572.49</v>
      </c>
      <c r="H16" t="s">
        <v>61</v>
      </c>
      <c r="I16" t="s">
        <v>73</v>
      </c>
      <c r="J16">
        <v>27</v>
      </c>
      <c r="K16" t="s">
        <v>77</v>
      </c>
    </row>
    <row r="17" spans="1:11" x14ac:dyDescent="0.3">
      <c r="A17" t="s">
        <v>94</v>
      </c>
      <c r="B17" t="s">
        <v>40</v>
      </c>
      <c r="C17" s="7">
        <v>45990</v>
      </c>
      <c r="D17" s="7">
        <v>46003</v>
      </c>
      <c r="E17">
        <v>13</v>
      </c>
      <c r="F17">
        <v>243166.52149173449</v>
      </c>
      <c r="G17">
        <v>1896.41</v>
      </c>
      <c r="H17" t="s">
        <v>65</v>
      </c>
      <c r="I17" t="s">
        <v>58</v>
      </c>
      <c r="J17">
        <v>55</v>
      </c>
      <c r="K17" t="s">
        <v>59</v>
      </c>
    </row>
    <row r="18" spans="1:11" x14ac:dyDescent="0.3">
      <c r="A18" t="s">
        <v>95</v>
      </c>
      <c r="B18" t="s">
        <v>48</v>
      </c>
      <c r="C18" s="7">
        <v>45835</v>
      </c>
      <c r="D18" s="7">
        <v>45845</v>
      </c>
      <c r="E18">
        <v>10</v>
      </c>
      <c r="F18">
        <v>67139.795290902621</v>
      </c>
      <c r="G18">
        <v>1653.4</v>
      </c>
      <c r="H18" t="s">
        <v>65</v>
      </c>
      <c r="I18" t="s">
        <v>58</v>
      </c>
      <c r="J18">
        <v>32</v>
      </c>
      <c r="K18" t="s">
        <v>70</v>
      </c>
    </row>
    <row r="19" spans="1:11" x14ac:dyDescent="0.3">
      <c r="A19" t="s">
        <v>96</v>
      </c>
      <c r="B19" t="s">
        <v>40</v>
      </c>
      <c r="C19" s="7">
        <v>45857</v>
      </c>
      <c r="D19" s="7">
        <v>45858</v>
      </c>
      <c r="E19">
        <v>1</v>
      </c>
      <c r="F19">
        <v>273927.46850313112</v>
      </c>
      <c r="G19">
        <v>1233.17</v>
      </c>
      <c r="H19" t="s">
        <v>76</v>
      </c>
      <c r="I19" t="s">
        <v>62</v>
      </c>
      <c r="J19">
        <v>32</v>
      </c>
      <c r="K19" t="s">
        <v>89</v>
      </c>
    </row>
    <row r="20" spans="1:11" x14ac:dyDescent="0.3">
      <c r="A20" t="s">
        <v>97</v>
      </c>
      <c r="B20" t="s">
        <v>43</v>
      </c>
      <c r="C20" s="7">
        <v>45634</v>
      </c>
      <c r="D20" s="7">
        <v>45645</v>
      </c>
      <c r="E20">
        <v>11</v>
      </c>
      <c r="F20">
        <v>705667.46821946593</v>
      </c>
      <c r="G20">
        <v>6654.64</v>
      </c>
      <c r="H20" t="s">
        <v>79</v>
      </c>
      <c r="I20" t="s">
        <v>62</v>
      </c>
      <c r="J20">
        <v>9</v>
      </c>
      <c r="K20" t="s">
        <v>70</v>
      </c>
    </row>
    <row r="21" spans="1:11" x14ac:dyDescent="0.3">
      <c r="A21" t="s">
        <v>98</v>
      </c>
      <c r="B21" t="s">
        <v>45</v>
      </c>
      <c r="C21" s="7">
        <v>45828</v>
      </c>
      <c r="D21" s="7">
        <v>45835</v>
      </c>
      <c r="E21">
        <v>7</v>
      </c>
      <c r="F21">
        <v>527015.0321438614</v>
      </c>
      <c r="G21">
        <v>2801.4</v>
      </c>
      <c r="H21" t="s">
        <v>91</v>
      </c>
      <c r="I21" t="s">
        <v>83</v>
      </c>
      <c r="J21">
        <v>54</v>
      </c>
      <c r="K21" t="s">
        <v>70</v>
      </c>
    </row>
    <row r="22" spans="1:11" x14ac:dyDescent="0.3">
      <c r="A22" t="s">
        <v>99</v>
      </c>
      <c r="B22" t="s">
        <v>53</v>
      </c>
      <c r="C22" s="7">
        <v>45811</v>
      </c>
      <c r="D22" s="7">
        <v>45822</v>
      </c>
      <c r="E22">
        <v>11</v>
      </c>
      <c r="F22">
        <v>844795.15833541227</v>
      </c>
      <c r="G22">
        <v>1331.64</v>
      </c>
      <c r="H22" t="s">
        <v>57</v>
      </c>
      <c r="I22" t="s">
        <v>83</v>
      </c>
      <c r="J22">
        <v>55</v>
      </c>
      <c r="K22" t="s">
        <v>77</v>
      </c>
    </row>
    <row r="23" spans="1:11" x14ac:dyDescent="0.3">
      <c r="A23" t="s">
        <v>100</v>
      </c>
      <c r="B23" t="s">
        <v>52</v>
      </c>
      <c r="C23" s="7">
        <v>45998</v>
      </c>
      <c r="D23" s="7">
        <v>46010</v>
      </c>
      <c r="E23">
        <v>12</v>
      </c>
      <c r="F23">
        <v>563444.05726906343</v>
      </c>
      <c r="G23">
        <v>13613.29</v>
      </c>
      <c r="H23" t="s">
        <v>91</v>
      </c>
      <c r="I23" t="s">
        <v>62</v>
      </c>
      <c r="J23">
        <v>35</v>
      </c>
      <c r="K23" t="s">
        <v>77</v>
      </c>
    </row>
    <row r="24" spans="1:11" x14ac:dyDescent="0.3">
      <c r="A24" t="s">
        <v>101</v>
      </c>
      <c r="B24" t="s">
        <v>48</v>
      </c>
      <c r="C24" s="7">
        <v>45764</v>
      </c>
      <c r="D24" s="7">
        <v>45767</v>
      </c>
      <c r="E24">
        <v>3</v>
      </c>
      <c r="F24">
        <v>849639.44696988037</v>
      </c>
      <c r="G24">
        <v>8926.09</v>
      </c>
      <c r="H24" t="s">
        <v>79</v>
      </c>
      <c r="I24" t="s">
        <v>62</v>
      </c>
      <c r="J24">
        <v>9</v>
      </c>
      <c r="K24" t="s">
        <v>89</v>
      </c>
    </row>
    <row r="25" spans="1:11" x14ac:dyDescent="0.3">
      <c r="A25" t="s">
        <v>102</v>
      </c>
      <c r="B25" t="s">
        <v>44</v>
      </c>
      <c r="C25" s="7">
        <v>45470</v>
      </c>
      <c r="D25" s="7">
        <v>45480</v>
      </c>
      <c r="E25">
        <v>10</v>
      </c>
      <c r="F25">
        <v>230004.94432070435</v>
      </c>
      <c r="G25">
        <v>14467.2</v>
      </c>
      <c r="H25" t="s">
        <v>91</v>
      </c>
      <c r="I25" t="s">
        <v>73</v>
      </c>
      <c r="J25">
        <v>49</v>
      </c>
      <c r="K25" t="s">
        <v>77</v>
      </c>
    </row>
    <row r="26" spans="1:11" x14ac:dyDescent="0.3">
      <c r="A26" t="s">
        <v>103</v>
      </c>
      <c r="B26" t="s">
        <v>45</v>
      </c>
      <c r="C26" s="7">
        <v>45936</v>
      </c>
      <c r="D26" s="7">
        <v>45945</v>
      </c>
      <c r="E26">
        <v>9</v>
      </c>
      <c r="F26">
        <v>629321.17446827563</v>
      </c>
      <c r="G26">
        <v>14522.49</v>
      </c>
      <c r="H26" t="s">
        <v>65</v>
      </c>
      <c r="I26" t="s">
        <v>69</v>
      </c>
      <c r="J26">
        <v>23</v>
      </c>
      <c r="K26" t="s">
        <v>59</v>
      </c>
    </row>
    <row r="27" spans="1:11" x14ac:dyDescent="0.3">
      <c r="A27" t="s">
        <v>104</v>
      </c>
      <c r="B27" t="s">
        <v>50</v>
      </c>
      <c r="C27" s="7">
        <v>45576</v>
      </c>
      <c r="D27" s="7">
        <v>45580</v>
      </c>
      <c r="E27">
        <v>4</v>
      </c>
      <c r="F27">
        <v>353972.87553702004</v>
      </c>
      <c r="G27">
        <v>833.56</v>
      </c>
      <c r="H27" t="s">
        <v>76</v>
      </c>
      <c r="I27" t="s">
        <v>58</v>
      </c>
      <c r="J27">
        <v>59</v>
      </c>
      <c r="K27" t="s">
        <v>70</v>
      </c>
    </row>
    <row r="28" spans="1:11" x14ac:dyDescent="0.3">
      <c r="A28" t="s">
        <v>105</v>
      </c>
      <c r="B28" t="s">
        <v>45</v>
      </c>
      <c r="C28" s="7">
        <v>45546</v>
      </c>
      <c r="D28" s="7">
        <v>45556</v>
      </c>
      <c r="E28">
        <v>10</v>
      </c>
      <c r="F28">
        <v>310897.00623196911</v>
      </c>
      <c r="G28">
        <v>10615.3</v>
      </c>
      <c r="H28" t="s">
        <v>91</v>
      </c>
      <c r="I28" t="s">
        <v>62</v>
      </c>
      <c r="J28">
        <v>54</v>
      </c>
      <c r="K28" t="s">
        <v>70</v>
      </c>
    </row>
    <row r="29" spans="1:11" x14ac:dyDescent="0.3">
      <c r="A29" t="s">
        <v>106</v>
      </c>
      <c r="B29" t="s">
        <v>44</v>
      </c>
      <c r="C29" s="7">
        <v>45983</v>
      </c>
      <c r="D29" s="7">
        <v>45992</v>
      </c>
      <c r="E29">
        <v>9</v>
      </c>
      <c r="F29">
        <v>623550.83721324184</v>
      </c>
      <c r="G29">
        <v>12564.94</v>
      </c>
      <c r="H29" t="s">
        <v>91</v>
      </c>
      <c r="I29" t="s">
        <v>62</v>
      </c>
      <c r="J29">
        <v>25</v>
      </c>
      <c r="K29" t="s">
        <v>66</v>
      </c>
    </row>
    <row r="30" spans="1:11" x14ac:dyDescent="0.3">
      <c r="A30" t="s">
        <v>107</v>
      </c>
      <c r="B30" t="s">
        <v>43</v>
      </c>
      <c r="C30" s="7">
        <v>45952</v>
      </c>
      <c r="D30" s="7">
        <v>45966</v>
      </c>
      <c r="E30">
        <v>14</v>
      </c>
      <c r="F30">
        <v>576903.51976454165</v>
      </c>
      <c r="G30">
        <v>7627.19</v>
      </c>
      <c r="H30" t="s">
        <v>76</v>
      </c>
      <c r="I30" t="s">
        <v>69</v>
      </c>
      <c r="J30">
        <v>11</v>
      </c>
      <c r="K30" t="s">
        <v>66</v>
      </c>
    </row>
    <row r="31" spans="1:11" x14ac:dyDescent="0.3">
      <c r="A31" t="s">
        <v>108</v>
      </c>
      <c r="B31" t="s">
        <v>46</v>
      </c>
      <c r="C31" s="7">
        <v>45821</v>
      </c>
      <c r="D31" s="7">
        <v>45823</v>
      </c>
      <c r="E31">
        <v>2</v>
      </c>
      <c r="F31">
        <v>180651.88810409608</v>
      </c>
      <c r="G31">
        <v>5560.9</v>
      </c>
      <c r="H31" t="s">
        <v>65</v>
      </c>
      <c r="I31" t="s">
        <v>83</v>
      </c>
      <c r="J31">
        <v>43</v>
      </c>
      <c r="K31" t="s">
        <v>66</v>
      </c>
    </row>
    <row r="32" spans="1:11" x14ac:dyDescent="0.3">
      <c r="A32" t="s">
        <v>109</v>
      </c>
      <c r="B32" t="s">
        <v>50</v>
      </c>
      <c r="C32" s="7">
        <v>45583</v>
      </c>
      <c r="D32" s="7">
        <v>45590</v>
      </c>
      <c r="E32">
        <v>7</v>
      </c>
      <c r="F32">
        <v>644339.29493005574</v>
      </c>
      <c r="G32">
        <v>7289.51</v>
      </c>
      <c r="H32" t="s">
        <v>91</v>
      </c>
      <c r="I32" t="s">
        <v>73</v>
      </c>
      <c r="J32">
        <v>42</v>
      </c>
      <c r="K32" t="s">
        <v>89</v>
      </c>
    </row>
    <row r="33" spans="1:11" x14ac:dyDescent="0.3">
      <c r="A33" t="s">
        <v>110</v>
      </c>
      <c r="B33" t="s">
        <v>41</v>
      </c>
      <c r="C33" s="7">
        <v>45883</v>
      </c>
      <c r="D33" s="7">
        <v>45892</v>
      </c>
      <c r="E33">
        <v>9</v>
      </c>
      <c r="F33">
        <v>156175.74980360302</v>
      </c>
      <c r="G33">
        <v>9517.2000000000007</v>
      </c>
      <c r="H33" t="s">
        <v>57</v>
      </c>
      <c r="I33" t="s">
        <v>58</v>
      </c>
      <c r="J33">
        <v>10</v>
      </c>
      <c r="K33" t="s">
        <v>59</v>
      </c>
    </row>
    <row r="34" spans="1:11" x14ac:dyDescent="0.3">
      <c r="A34" t="s">
        <v>111</v>
      </c>
      <c r="B34" t="s">
        <v>42</v>
      </c>
      <c r="C34" s="7">
        <v>45783</v>
      </c>
      <c r="D34" s="7">
        <v>45792</v>
      </c>
      <c r="E34">
        <v>9</v>
      </c>
      <c r="F34">
        <v>923520.08863256872</v>
      </c>
      <c r="G34">
        <v>9636.82</v>
      </c>
      <c r="H34" t="s">
        <v>65</v>
      </c>
      <c r="I34" t="s">
        <v>62</v>
      </c>
      <c r="J34">
        <v>6</v>
      </c>
      <c r="K34" t="s">
        <v>66</v>
      </c>
    </row>
    <row r="35" spans="1:11" x14ac:dyDescent="0.3">
      <c r="A35" t="s">
        <v>112</v>
      </c>
      <c r="B35" t="s">
        <v>40</v>
      </c>
      <c r="C35" s="7">
        <v>45998</v>
      </c>
      <c r="D35" s="7">
        <v>46012</v>
      </c>
      <c r="E35">
        <v>14</v>
      </c>
      <c r="F35">
        <v>433768.03349237476</v>
      </c>
      <c r="G35">
        <v>8940.82</v>
      </c>
      <c r="H35" t="s">
        <v>76</v>
      </c>
      <c r="I35" t="s">
        <v>69</v>
      </c>
      <c r="J35">
        <v>25</v>
      </c>
      <c r="K35" t="s">
        <v>66</v>
      </c>
    </row>
    <row r="36" spans="1:11" x14ac:dyDescent="0.3">
      <c r="A36" t="s">
        <v>113</v>
      </c>
      <c r="B36" t="s">
        <v>38</v>
      </c>
      <c r="C36" s="7">
        <v>45915</v>
      </c>
      <c r="D36" s="7">
        <v>45925</v>
      </c>
      <c r="E36">
        <v>10</v>
      </c>
      <c r="F36">
        <v>401792.04463520157</v>
      </c>
      <c r="G36">
        <v>2413.5100000000002</v>
      </c>
      <c r="H36" t="s">
        <v>57</v>
      </c>
      <c r="I36" t="s">
        <v>73</v>
      </c>
      <c r="J36">
        <v>31</v>
      </c>
      <c r="K36" t="s">
        <v>77</v>
      </c>
    </row>
    <row r="37" spans="1:11" x14ac:dyDescent="0.3">
      <c r="A37" t="s">
        <v>114</v>
      </c>
      <c r="B37" t="s">
        <v>53</v>
      </c>
      <c r="C37" s="7">
        <v>45672</v>
      </c>
      <c r="D37" s="7">
        <v>45673</v>
      </c>
      <c r="E37">
        <v>1</v>
      </c>
      <c r="F37">
        <v>461087.10294900771</v>
      </c>
      <c r="G37">
        <v>2128.87</v>
      </c>
      <c r="H37" t="s">
        <v>91</v>
      </c>
      <c r="I37" t="s">
        <v>58</v>
      </c>
      <c r="J37">
        <v>53</v>
      </c>
      <c r="K37" t="s">
        <v>59</v>
      </c>
    </row>
    <row r="38" spans="1:11" x14ac:dyDescent="0.3">
      <c r="A38" t="s">
        <v>115</v>
      </c>
      <c r="B38" t="s">
        <v>46</v>
      </c>
      <c r="C38" s="7">
        <v>45529</v>
      </c>
      <c r="D38" s="7">
        <v>45540</v>
      </c>
      <c r="E38">
        <v>11</v>
      </c>
      <c r="F38">
        <v>506262.77797394211</v>
      </c>
      <c r="G38">
        <v>3596.4</v>
      </c>
      <c r="H38" t="s">
        <v>79</v>
      </c>
      <c r="I38" t="s">
        <v>69</v>
      </c>
      <c r="J38">
        <v>51</v>
      </c>
      <c r="K38" t="s">
        <v>89</v>
      </c>
    </row>
    <row r="39" spans="1:11" x14ac:dyDescent="0.3">
      <c r="A39" t="s">
        <v>117</v>
      </c>
      <c r="B39" t="s">
        <v>47</v>
      </c>
      <c r="C39" s="7">
        <v>45812</v>
      </c>
      <c r="D39" s="7">
        <v>45815</v>
      </c>
      <c r="E39">
        <v>3</v>
      </c>
      <c r="F39">
        <v>8369.3708320946007</v>
      </c>
      <c r="G39">
        <v>11205.96</v>
      </c>
      <c r="H39" t="s">
        <v>57</v>
      </c>
      <c r="I39" t="s">
        <v>58</v>
      </c>
      <c r="J39">
        <v>34</v>
      </c>
      <c r="K39" t="s">
        <v>59</v>
      </c>
    </row>
    <row r="40" spans="1:11" x14ac:dyDescent="0.3">
      <c r="A40" t="s">
        <v>118</v>
      </c>
      <c r="B40" t="s">
        <v>40</v>
      </c>
      <c r="C40" s="7">
        <v>45499</v>
      </c>
      <c r="D40" s="7">
        <v>45511</v>
      </c>
      <c r="E40">
        <v>12</v>
      </c>
      <c r="F40">
        <v>89668.56385843661</v>
      </c>
      <c r="G40">
        <v>2350.86</v>
      </c>
      <c r="H40" t="s">
        <v>91</v>
      </c>
      <c r="I40" t="s">
        <v>69</v>
      </c>
      <c r="J40">
        <v>6</v>
      </c>
      <c r="K40" t="s">
        <v>59</v>
      </c>
    </row>
    <row r="41" spans="1:11" x14ac:dyDescent="0.3">
      <c r="A41" t="s">
        <v>120</v>
      </c>
      <c r="B41" t="s">
        <v>49</v>
      </c>
      <c r="C41" s="7">
        <v>45746</v>
      </c>
      <c r="D41" s="7">
        <v>45756</v>
      </c>
      <c r="E41">
        <v>10</v>
      </c>
      <c r="F41">
        <v>472603.00661119999</v>
      </c>
      <c r="G41">
        <v>358.51</v>
      </c>
      <c r="H41" t="s">
        <v>79</v>
      </c>
      <c r="I41" t="s">
        <v>58</v>
      </c>
      <c r="J41">
        <v>19</v>
      </c>
      <c r="K41" t="s">
        <v>66</v>
      </c>
    </row>
    <row r="42" spans="1:11" x14ac:dyDescent="0.3">
      <c r="A42" t="s">
        <v>121</v>
      </c>
      <c r="B42" t="s">
        <v>39</v>
      </c>
      <c r="C42" s="7">
        <v>45846</v>
      </c>
      <c r="D42" s="7">
        <v>45851</v>
      </c>
      <c r="E42">
        <v>5</v>
      </c>
      <c r="F42">
        <v>639052.94193350698</v>
      </c>
      <c r="G42">
        <v>6200.67</v>
      </c>
      <c r="H42" t="s">
        <v>76</v>
      </c>
      <c r="I42" t="s">
        <v>58</v>
      </c>
      <c r="J42">
        <v>1</v>
      </c>
      <c r="K42" t="s">
        <v>59</v>
      </c>
    </row>
    <row r="43" spans="1:11" x14ac:dyDescent="0.3">
      <c r="A43" t="s">
        <v>122</v>
      </c>
      <c r="B43" t="s">
        <v>46</v>
      </c>
      <c r="C43" s="7">
        <v>46008</v>
      </c>
      <c r="D43" s="7">
        <v>46022</v>
      </c>
      <c r="E43">
        <v>14</v>
      </c>
      <c r="F43">
        <v>556698.76484765904</v>
      </c>
      <c r="G43">
        <v>5342.63</v>
      </c>
      <c r="H43" t="s">
        <v>79</v>
      </c>
      <c r="I43" t="s">
        <v>62</v>
      </c>
      <c r="J43">
        <v>15</v>
      </c>
      <c r="K43" t="s">
        <v>77</v>
      </c>
    </row>
    <row r="44" spans="1:11" x14ac:dyDescent="0.3">
      <c r="A44" t="s">
        <v>123</v>
      </c>
      <c r="B44" t="s">
        <v>45</v>
      </c>
      <c r="C44" s="7">
        <v>45496</v>
      </c>
      <c r="D44" s="7">
        <v>45500</v>
      </c>
      <c r="E44">
        <v>4</v>
      </c>
      <c r="F44">
        <v>169379.88202098288</v>
      </c>
      <c r="G44">
        <v>7692.32</v>
      </c>
      <c r="H44" t="s">
        <v>91</v>
      </c>
      <c r="I44" t="s">
        <v>83</v>
      </c>
      <c r="J44">
        <v>33</v>
      </c>
      <c r="K44" t="s">
        <v>70</v>
      </c>
    </row>
    <row r="45" spans="1:11" x14ac:dyDescent="0.3">
      <c r="A45" t="s">
        <v>124</v>
      </c>
      <c r="B45" t="s">
        <v>50</v>
      </c>
      <c r="C45" s="7">
        <v>45937</v>
      </c>
      <c r="D45" s="7">
        <v>45947</v>
      </c>
      <c r="E45">
        <v>10</v>
      </c>
      <c r="F45">
        <v>440652.42375184759</v>
      </c>
      <c r="G45">
        <v>8885.0300000000007</v>
      </c>
      <c r="H45" t="s">
        <v>57</v>
      </c>
      <c r="I45" t="s">
        <v>69</v>
      </c>
      <c r="J45">
        <v>8</v>
      </c>
      <c r="K45" t="s">
        <v>70</v>
      </c>
    </row>
    <row r="46" spans="1:11" x14ac:dyDescent="0.3">
      <c r="A46" t="s">
        <v>125</v>
      </c>
      <c r="B46" t="s">
        <v>44</v>
      </c>
      <c r="C46" s="7">
        <v>45847</v>
      </c>
      <c r="D46" s="7">
        <v>45857</v>
      </c>
      <c r="E46">
        <v>10</v>
      </c>
      <c r="F46">
        <v>668976.7613167105</v>
      </c>
      <c r="G46">
        <v>12042.39</v>
      </c>
      <c r="H46" t="s">
        <v>68</v>
      </c>
      <c r="I46" t="s">
        <v>62</v>
      </c>
      <c r="J46">
        <v>34</v>
      </c>
      <c r="K46" t="s">
        <v>77</v>
      </c>
    </row>
    <row r="47" spans="1:11" x14ac:dyDescent="0.3">
      <c r="A47" t="s">
        <v>126</v>
      </c>
      <c r="B47" t="s">
        <v>49</v>
      </c>
      <c r="C47" s="7">
        <v>45714</v>
      </c>
      <c r="D47" s="7">
        <v>45715</v>
      </c>
      <c r="E47">
        <v>1</v>
      </c>
      <c r="F47">
        <v>381979.81238464935</v>
      </c>
      <c r="G47">
        <v>11282.06</v>
      </c>
      <c r="H47" t="s">
        <v>61</v>
      </c>
      <c r="I47" t="s">
        <v>83</v>
      </c>
      <c r="J47">
        <v>36</v>
      </c>
      <c r="K47" t="s">
        <v>66</v>
      </c>
    </row>
    <row r="48" spans="1:11" x14ac:dyDescent="0.3">
      <c r="A48" t="s">
        <v>128</v>
      </c>
      <c r="B48" t="s">
        <v>49</v>
      </c>
      <c r="C48" s="7">
        <v>45681</v>
      </c>
      <c r="D48" s="7">
        <v>45684</v>
      </c>
      <c r="E48">
        <v>3</v>
      </c>
      <c r="F48">
        <v>220819.40580861873</v>
      </c>
      <c r="G48">
        <v>12557.12</v>
      </c>
      <c r="H48" t="s">
        <v>79</v>
      </c>
      <c r="I48" t="s">
        <v>58</v>
      </c>
      <c r="J48">
        <v>23</v>
      </c>
      <c r="K48" t="s">
        <v>66</v>
      </c>
    </row>
    <row r="49" spans="1:11" x14ac:dyDescent="0.3">
      <c r="A49" t="s">
        <v>129</v>
      </c>
      <c r="B49" t="s">
        <v>50</v>
      </c>
      <c r="C49" s="7">
        <v>45625</v>
      </c>
      <c r="D49" s="7">
        <v>45633</v>
      </c>
      <c r="E49">
        <v>8</v>
      </c>
      <c r="F49">
        <v>762122.13597691432</v>
      </c>
      <c r="G49">
        <v>7279.14</v>
      </c>
      <c r="H49" t="s">
        <v>91</v>
      </c>
      <c r="I49" t="s">
        <v>83</v>
      </c>
      <c r="J49">
        <v>33</v>
      </c>
      <c r="K49" t="s">
        <v>70</v>
      </c>
    </row>
    <row r="50" spans="1:11" x14ac:dyDescent="0.3">
      <c r="A50" t="s">
        <v>130</v>
      </c>
      <c r="B50" t="s">
        <v>52</v>
      </c>
      <c r="C50" s="7">
        <v>45799</v>
      </c>
      <c r="D50" s="7">
        <v>45806</v>
      </c>
      <c r="E50">
        <v>7</v>
      </c>
      <c r="F50">
        <v>930417.18189095194</v>
      </c>
      <c r="G50">
        <v>10534.02</v>
      </c>
      <c r="H50" t="s">
        <v>68</v>
      </c>
      <c r="I50" t="s">
        <v>62</v>
      </c>
      <c r="J50">
        <v>45</v>
      </c>
      <c r="K50" t="s">
        <v>59</v>
      </c>
    </row>
    <row r="51" spans="1:11" x14ac:dyDescent="0.3">
      <c r="A51" t="s">
        <v>131</v>
      </c>
      <c r="B51" t="s">
        <v>48</v>
      </c>
      <c r="C51" s="7">
        <v>45989</v>
      </c>
      <c r="D51" s="7">
        <v>45990</v>
      </c>
      <c r="E51">
        <v>1</v>
      </c>
      <c r="F51">
        <v>312193.34727077198</v>
      </c>
      <c r="G51">
        <v>9269.1200000000008</v>
      </c>
      <c r="H51" t="s">
        <v>61</v>
      </c>
      <c r="I51" t="s">
        <v>73</v>
      </c>
      <c r="J51">
        <v>36</v>
      </c>
      <c r="K51" t="s">
        <v>70</v>
      </c>
    </row>
    <row r="52" spans="1:11" x14ac:dyDescent="0.3">
      <c r="A52" t="s">
        <v>132</v>
      </c>
      <c r="B52" t="s">
        <v>42</v>
      </c>
      <c r="C52" s="7">
        <v>45875</v>
      </c>
      <c r="D52" s="7">
        <v>45880</v>
      </c>
      <c r="E52">
        <v>5</v>
      </c>
      <c r="F52">
        <v>177810.86239779278</v>
      </c>
      <c r="G52">
        <v>6474.35</v>
      </c>
      <c r="H52" t="s">
        <v>68</v>
      </c>
      <c r="I52" t="s">
        <v>62</v>
      </c>
      <c r="J52">
        <v>24</v>
      </c>
      <c r="K52" t="s">
        <v>89</v>
      </c>
    </row>
    <row r="53" spans="1:11" x14ac:dyDescent="0.3">
      <c r="A53" t="s">
        <v>133</v>
      </c>
      <c r="B53" t="s">
        <v>45</v>
      </c>
      <c r="C53" s="7">
        <v>45504</v>
      </c>
      <c r="D53" s="7">
        <v>45513</v>
      </c>
      <c r="E53">
        <v>9</v>
      </c>
      <c r="F53">
        <v>654577.91205181065</v>
      </c>
      <c r="G53">
        <v>12250.02</v>
      </c>
      <c r="H53" t="s">
        <v>65</v>
      </c>
      <c r="I53" t="s">
        <v>62</v>
      </c>
      <c r="J53">
        <v>52</v>
      </c>
      <c r="K53" t="s">
        <v>66</v>
      </c>
    </row>
    <row r="54" spans="1:11" x14ac:dyDescent="0.3">
      <c r="A54" t="s">
        <v>134</v>
      </c>
      <c r="B54" t="s">
        <v>52</v>
      </c>
      <c r="C54" s="7">
        <v>45629</v>
      </c>
      <c r="D54" s="7">
        <v>45641</v>
      </c>
      <c r="E54">
        <v>12</v>
      </c>
      <c r="F54">
        <v>913933.77050486102</v>
      </c>
      <c r="G54">
        <v>2413.31</v>
      </c>
      <c r="H54" t="s">
        <v>79</v>
      </c>
      <c r="I54" t="s">
        <v>83</v>
      </c>
      <c r="J54">
        <v>12</v>
      </c>
      <c r="K54" t="s">
        <v>89</v>
      </c>
    </row>
    <row r="55" spans="1:11" x14ac:dyDescent="0.3">
      <c r="A55" t="s">
        <v>135</v>
      </c>
      <c r="B55" t="s">
        <v>44</v>
      </c>
      <c r="C55" s="7">
        <v>45512</v>
      </c>
      <c r="D55" s="7">
        <v>45512</v>
      </c>
      <c r="E55">
        <v>0</v>
      </c>
      <c r="F55">
        <v>207772.79077772738</v>
      </c>
      <c r="G55">
        <v>3963.49</v>
      </c>
      <c r="H55" t="s">
        <v>79</v>
      </c>
      <c r="I55" t="s">
        <v>83</v>
      </c>
      <c r="J55">
        <v>29</v>
      </c>
      <c r="K55" t="s">
        <v>70</v>
      </c>
    </row>
    <row r="56" spans="1:11" x14ac:dyDescent="0.3">
      <c r="A56" t="s">
        <v>136</v>
      </c>
      <c r="B56" t="s">
        <v>50</v>
      </c>
      <c r="C56" s="7">
        <v>45721</v>
      </c>
      <c r="D56" s="7">
        <v>45727</v>
      </c>
      <c r="E56">
        <v>6</v>
      </c>
      <c r="F56">
        <v>585879.45879460615</v>
      </c>
      <c r="G56">
        <v>7063.53</v>
      </c>
      <c r="H56" t="s">
        <v>76</v>
      </c>
      <c r="I56" t="s">
        <v>73</v>
      </c>
      <c r="J56">
        <v>41</v>
      </c>
      <c r="K56" t="s">
        <v>70</v>
      </c>
    </row>
    <row r="57" spans="1:11" x14ac:dyDescent="0.3">
      <c r="A57" t="s">
        <v>137</v>
      </c>
      <c r="B57" t="s">
        <v>48</v>
      </c>
      <c r="C57" s="7">
        <v>45998</v>
      </c>
      <c r="D57" s="7">
        <v>46011</v>
      </c>
      <c r="E57">
        <v>13</v>
      </c>
      <c r="F57">
        <v>864486.07694637054</v>
      </c>
      <c r="G57">
        <v>1370.86</v>
      </c>
      <c r="H57" t="s">
        <v>61</v>
      </c>
      <c r="I57" t="s">
        <v>73</v>
      </c>
      <c r="J57">
        <v>21</v>
      </c>
      <c r="K57" t="s">
        <v>70</v>
      </c>
    </row>
    <row r="58" spans="1:11" x14ac:dyDescent="0.3">
      <c r="A58" t="s">
        <v>138</v>
      </c>
      <c r="B58" t="s">
        <v>44</v>
      </c>
      <c r="C58" s="7">
        <v>45380</v>
      </c>
      <c r="D58" s="7">
        <v>45382</v>
      </c>
      <c r="E58">
        <v>2</v>
      </c>
      <c r="F58">
        <v>694231.59345040901</v>
      </c>
      <c r="G58">
        <v>9997.93</v>
      </c>
      <c r="H58" t="s">
        <v>65</v>
      </c>
      <c r="I58" t="s">
        <v>83</v>
      </c>
      <c r="J58">
        <v>14</v>
      </c>
      <c r="K58" t="s">
        <v>66</v>
      </c>
    </row>
    <row r="59" spans="1:11" x14ac:dyDescent="0.3">
      <c r="A59" t="s">
        <v>139</v>
      </c>
      <c r="B59" t="s">
        <v>39</v>
      </c>
      <c r="C59" s="7">
        <v>45809</v>
      </c>
      <c r="D59" s="7">
        <v>45817</v>
      </c>
      <c r="E59">
        <v>8</v>
      </c>
      <c r="F59">
        <v>54285.630693503328</v>
      </c>
      <c r="G59">
        <v>11609.82</v>
      </c>
      <c r="H59" t="s">
        <v>91</v>
      </c>
      <c r="I59" t="s">
        <v>83</v>
      </c>
      <c r="J59">
        <v>7</v>
      </c>
      <c r="K59" t="s">
        <v>70</v>
      </c>
    </row>
    <row r="60" spans="1:11" x14ac:dyDescent="0.3">
      <c r="A60" t="s">
        <v>140</v>
      </c>
      <c r="B60" t="s">
        <v>39</v>
      </c>
      <c r="C60" s="7">
        <v>45925</v>
      </c>
      <c r="D60" s="7">
        <v>45928</v>
      </c>
      <c r="E60">
        <v>3</v>
      </c>
      <c r="F60">
        <v>238091.03827709777</v>
      </c>
      <c r="G60">
        <v>4405.79</v>
      </c>
      <c r="H60" t="s">
        <v>65</v>
      </c>
      <c r="I60" t="s">
        <v>73</v>
      </c>
      <c r="J60">
        <v>9</v>
      </c>
      <c r="K60" t="s">
        <v>77</v>
      </c>
    </row>
    <row r="61" spans="1:11" x14ac:dyDescent="0.3">
      <c r="A61" t="s">
        <v>141</v>
      </c>
      <c r="B61" t="s">
        <v>38</v>
      </c>
      <c r="C61" s="7">
        <v>45678</v>
      </c>
      <c r="D61" s="7">
        <v>45691</v>
      </c>
      <c r="E61">
        <v>13</v>
      </c>
      <c r="F61">
        <v>872271.74497853382</v>
      </c>
      <c r="G61">
        <v>12990.77</v>
      </c>
      <c r="H61" t="s">
        <v>68</v>
      </c>
      <c r="I61" t="s">
        <v>58</v>
      </c>
      <c r="J61">
        <v>60</v>
      </c>
      <c r="K61" t="s">
        <v>70</v>
      </c>
    </row>
    <row r="62" spans="1:11" x14ac:dyDescent="0.3">
      <c r="A62" t="s">
        <v>142</v>
      </c>
      <c r="B62" t="s">
        <v>40</v>
      </c>
      <c r="C62" s="7">
        <v>45825</v>
      </c>
      <c r="D62" s="7">
        <v>45834</v>
      </c>
      <c r="E62">
        <v>9</v>
      </c>
      <c r="F62">
        <v>570611.08925429173</v>
      </c>
      <c r="G62">
        <v>9539.5</v>
      </c>
      <c r="H62" t="s">
        <v>65</v>
      </c>
      <c r="I62" t="s">
        <v>58</v>
      </c>
      <c r="J62">
        <v>28</v>
      </c>
      <c r="K62" t="s">
        <v>77</v>
      </c>
    </row>
    <row r="63" spans="1:11" x14ac:dyDescent="0.3">
      <c r="A63" t="s">
        <v>143</v>
      </c>
      <c r="B63" t="s">
        <v>53</v>
      </c>
      <c r="C63" s="7">
        <v>46011</v>
      </c>
      <c r="D63" s="7">
        <v>46014</v>
      </c>
      <c r="E63">
        <v>3</v>
      </c>
      <c r="F63">
        <v>767285.26988403243</v>
      </c>
      <c r="G63">
        <v>6739.53</v>
      </c>
      <c r="H63" t="s">
        <v>61</v>
      </c>
      <c r="I63" t="s">
        <v>69</v>
      </c>
      <c r="J63">
        <v>17</v>
      </c>
      <c r="K63" t="s">
        <v>66</v>
      </c>
    </row>
    <row r="64" spans="1:11" x14ac:dyDescent="0.3">
      <c r="A64" t="s">
        <v>144</v>
      </c>
      <c r="B64" t="s">
        <v>38</v>
      </c>
      <c r="C64" s="7">
        <v>45447</v>
      </c>
      <c r="D64" s="7">
        <v>45452</v>
      </c>
      <c r="E64">
        <v>5</v>
      </c>
      <c r="F64">
        <v>275470.88287074061</v>
      </c>
      <c r="G64">
        <v>8119.46</v>
      </c>
      <c r="H64" t="s">
        <v>65</v>
      </c>
      <c r="I64" t="s">
        <v>69</v>
      </c>
      <c r="J64">
        <v>49</v>
      </c>
      <c r="K64" t="s">
        <v>89</v>
      </c>
    </row>
    <row r="65" spans="1:11" x14ac:dyDescent="0.3">
      <c r="A65" t="s">
        <v>145</v>
      </c>
      <c r="B65" t="s">
        <v>38</v>
      </c>
      <c r="C65" s="7">
        <v>45798</v>
      </c>
      <c r="D65" s="7">
        <v>45807</v>
      </c>
      <c r="E65">
        <v>9</v>
      </c>
      <c r="F65">
        <v>222726.12594506468</v>
      </c>
      <c r="G65">
        <v>306.83</v>
      </c>
      <c r="H65" t="s">
        <v>61</v>
      </c>
      <c r="I65" t="s">
        <v>73</v>
      </c>
      <c r="J65">
        <v>27</v>
      </c>
      <c r="K65" t="s">
        <v>77</v>
      </c>
    </row>
    <row r="66" spans="1:11" x14ac:dyDescent="0.3">
      <c r="A66" t="s">
        <v>146</v>
      </c>
      <c r="B66" t="s">
        <v>48</v>
      </c>
      <c r="C66" s="7">
        <v>45987</v>
      </c>
      <c r="D66" s="7">
        <v>45991</v>
      </c>
      <c r="E66">
        <v>4</v>
      </c>
      <c r="F66">
        <v>668309.2187239707</v>
      </c>
      <c r="G66">
        <v>7481.54</v>
      </c>
      <c r="H66" t="s">
        <v>61</v>
      </c>
      <c r="I66" t="s">
        <v>83</v>
      </c>
      <c r="J66">
        <v>10</v>
      </c>
      <c r="K66" t="s">
        <v>59</v>
      </c>
    </row>
    <row r="67" spans="1:11" x14ac:dyDescent="0.3">
      <c r="A67" t="s">
        <v>147</v>
      </c>
      <c r="B67" t="s">
        <v>40</v>
      </c>
      <c r="C67" s="7">
        <v>45607</v>
      </c>
      <c r="D67" s="7">
        <v>45609</v>
      </c>
      <c r="E67">
        <v>2</v>
      </c>
      <c r="F67">
        <v>682289.50417477405</v>
      </c>
      <c r="G67">
        <v>10961.18</v>
      </c>
      <c r="H67" t="s">
        <v>76</v>
      </c>
      <c r="I67" t="s">
        <v>83</v>
      </c>
      <c r="J67">
        <v>10</v>
      </c>
      <c r="K67" t="s">
        <v>59</v>
      </c>
    </row>
    <row r="68" spans="1:11" x14ac:dyDescent="0.3">
      <c r="A68" t="s">
        <v>148</v>
      </c>
      <c r="B68" t="s">
        <v>41</v>
      </c>
      <c r="C68" s="7">
        <v>45776</v>
      </c>
      <c r="D68" s="7">
        <v>45788</v>
      </c>
      <c r="E68">
        <v>12</v>
      </c>
      <c r="F68">
        <v>762304.42401127797</v>
      </c>
      <c r="G68">
        <v>14969.86</v>
      </c>
      <c r="H68" t="s">
        <v>68</v>
      </c>
      <c r="I68" t="s">
        <v>83</v>
      </c>
      <c r="J68">
        <v>22</v>
      </c>
      <c r="K68" t="s">
        <v>59</v>
      </c>
    </row>
    <row r="69" spans="1:11" x14ac:dyDescent="0.3">
      <c r="A69" t="s">
        <v>149</v>
      </c>
      <c r="B69" t="s">
        <v>38</v>
      </c>
      <c r="C69" s="7">
        <v>45838</v>
      </c>
      <c r="D69" s="7">
        <v>45839</v>
      </c>
      <c r="E69">
        <v>1</v>
      </c>
      <c r="F69">
        <v>518963.23628452601</v>
      </c>
      <c r="G69">
        <v>2887.74</v>
      </c>
      <c r="H69" t="s">
        <v>79</v>
      </c>
      <c r="I69" t="s">
        <v>62</v>
      </c>
      <c r="J69">
        <v>53</v>
      </c>
      <c r="K69" t="s">
        <v>89</v>
      </c>
    </row>
    <row r="70" spans="1:11" x14ac:dyDescent="0.3">
      <c r="A70" t="s">
        <v>150</v>
      </c>
      <c r="B70" t="s">
        <v>45</v>
      </c>
      <c r="C70" s="7">
        <v>45814</v>
      </c>
      <c r="D70" s="7">
        <v>45828</v>
      </c>
      <c r="E70">
        <v>14</v>
      </c>
      <c r="F70">
        <v>309939.83526407304</v>
      </c>
      <c r="G70">
        <v>9511.6299999999992</v>
      </c>
      <c r="H70" t="s">
        <v>57</v>
      </c>
      <c r="I70" t="s">
        <v>58</v>
      </c>
      <c r="J70">
        <v>34</v>
      </c>
      <c r="K70" t="s">
        <v>59</v>
      </c>
    </row>
    <row r="71" spans="1:11" x14ac:dyDescent="0.3">
      <c r="A71" t="s">
        <v>151</v>
      </c>
      <c r="B71" t="s">
        <v>45</v>
      </c>
      <c r="C71" s="7">
        <v>45809</v>
      </c>
      <c r="D71" s="7">
        <v>45814</v>
      </c>
      <c r="E71">
        <v>5</v>
      </c>
      <c r="F71">
        <v>845919.37373897969</v>
      </c>
      <c r="G71">
        <v>12982.13</v>
      </c>
      <c r="H71" t="s">
        <v>76</v>
      </c>
      <c r="I71" t="s">
        <v>83</v>
      </c>
      <c r="J71">
        <v>16</v>
      </c>
      <c r="K71" t="s">
        <v>89</v>
      </c>
    </row>
    <row r="72" spans="1:11" x14ac:dyDescent="0.3">
      <c r="A72" t="s">
        <v>152</v>
      </c>
      <c r="B72" t="s">
        <v>38</v>
      </c>
      <c r="C72" s="7">
        <v>45659</v>
      </c>
      <c r="D72" s="7">
        <v>45668</v>
      </c>
      <c r="E72">
        <v>9</v>
      </c>
      <c r="F72">
        <v>116788.83138212239</v>
      </c>
      <c r="G72">
        <v>11879.33</v>
      </c>
      <c r="H72" t="s">
        <v>57</v>
      </c>
      <c r="I72" t="s">
        <v>83</v>
      </c>
      <c r="J72">
        <v>38</v>
      </c>
      <c r="K72" t="s">
        <v>89</v>
      </c>
    </row>
    <row r="73" spans="1:11" x14ac:dyDescent="0.3">
      <c r="A73" t="s">
        <v>153</v>
      </c>
      <c r="B73" t="s">
        <v>43</v>
      </c>
      <c r="C73" s="7">
        <v>45491</v>
      </c>
      <c r="D73" s="7">
        <v>45498</v>
      </c>
      <c r="E73">
        <v>7</v>
      </c>
      <c r="F73">
        <v>89965.81403293919</v>
      </c>
      <c r="G73">
        <v>9355.94</v>
      </c>
      <c r="H73" t="s">
        <v>79</v>
      </c>
      <c r="I73" t="s">
        <v>83</v>
      </c>
      <c r="J73">
        <v>4</v>
      </c>
      <c r="K73" t="s">
        <v>70</v>
      </c>
    </row>
    <row r="74" spans="1:11" x14ac:dyDescent="0.3">
      <c r="A74" t="s">
        <v>154</v>
      </c>
      <c r="B74" t="s">
        <v>49</v>
      </c>
      <c r="C74" s="7">
        <v>45670</v>
      </c>
      <c r="D74" s="7">
        <v>45672</v>
      </c>
      <c r="E74">
        <v>2</v>
      </c>
      <c r="F74">
        <v>466406.48374272347</v>
      </c>
      <c r="G74">
        <v>4887.75</v>
      </c>
      <c r="H74" t="s">
        <v>91</v>
      </c>
      <c r="I74" t="s">
        <v>62</v>
      </c>
      <c r="J74">
        <v>52</v>
      </c>
      <c r="K74" t="s">
        <v>89</v>
      </c>
    </row>
    <row r="75" spans="1:11" x14ac:dyDescent="0.3">
      <c r="A75" t="s">
        <v>155</v>
      </c>
      <c r="B75" t="s">
        <v>38</v>
      </c>
      <c r="C75" s="7">
        <v>46005</v>
      </c>
      <c r="D75" s="7">
        <v>46016</v>
      </c>
      <c r="E75">
        <v>11</v>
      </c>
      <c r="F75">
        <v>131110.82750361445</v>
      </c>
      <c r="G75">
        <v>13500.21</v>
      </c>
      <c r="H75" t="s">
        <v>68</v>
      </c>
      <c r="I75" t="s">
        <v>69</v>
      </c>
      <c r="J75">
        <v>36</v>
      </c>
      <c r="K75" t="s">
        <v>70</v>
      </c>
    </row>
    <row r="76" spans="1:11" x14ac:dyDescent="0.3">
      <c r="A76" t="s">
        <v>156</v>
      </c>
      <c r="B76" t="s">
        <v>39</v>
      </c>
      <c r="C76" s="7">
        <v>46000</v>
      </c>
      <c r="D76" s="7">
        <v>46004</v>
      </c>
      <c r="E76">
        <v>4</v>
      </c>
      <c r="F76">
        <v>781254.12263581634</v>
      </c>
      <c r="G76">
        <v>8215.77</v>
      </c>
      <c r="H76" t="s">
        <v>68</v>
      </c>
      <c r="I76" t="s">
        <v>83</v>
      </c>
      <c r="J76">
        <v>50</v>
      </c>
      <c r="K76" t="s">
        <v>77</v>
      </c>
    </row>
    <row r="77" spans="1:11" x14ac:dyDescent="0.3">
      <c r="A77" t="s">
        <v>157</v>
      </c>
      <c r="B77" t="s">
        <v>49</v>
      </c>
      <c r="C77" s="7">
        <v>45986</v>
      </c>
      <c r="D77" s="7">
        <v>45999</v>
      </c>
      <c r="E77">
        <v>13</v>
      </c>
      <c r="F77">
        <v>348882.78387363639</v>
      </c>
      <c r="G77">
        <v>9378.92</v>
      </c>
      <c r="H77" t="s">
        <v>61</v>
      </c>
      <c r="I77" t="s">
        <v>83</v>
      </c>
      <c r="J77">
        <v>43</v>
      </c>
      <c r="K77" t="s">
        <v>77</v>
      </c>
    </row>
    <row r="78" spans="1:11" x14ac:dyDescent="0.3">
      <c r="A78" t="s">
        <v>158</v>
      </c>
      <c r="B78" t="s">
        <v>39</v>
      </c>
      <c r="C78" s="7">
        <v>45625</v>
      </c>
      <c r="D78" s="7">
        <v>45625</v>
      </c>
      <c r="E78">
        <v>0</v>
      </c>
      <c r="F78">
        <v>796232.86380097433</v>
      </c>
      <c r="G78">
        <v>2120.66</v>
      </c>
      <c r="H78" t="s">
        <v>79</v>
      </c>
      <c r="I78" t="s">
        <v>83</v>
      </c>
      <c r="J78">
        <v>13</v>
      </c>
      <c r="K78" t="s">
        <v>59</v>
      </c>
    </row>
    <row r="79" spans="1:11" x14ac:dyDescent="0.3">
      <c r="A79" t="s">
        <v>159</v>
      </c>
      <c r="B79" t="s">
        <v>41</v>
      </c>
      <c r="C79" s="7">
        <v>45908</v>
      </c>
      <c r="D79" s="7">
        <v>45918</v>
      </c>
      <c r="E79">
        <v>10</v>
      </c>
      <c r="F79">
        <v>797283.40181086166</v>
      </c>
      <c r="G79">
        <v>9937.23</v>
      </c>
      <c r="H79" t="s">
        <v>91</v>
      </c>
      <c r="I79" t="s">
        <v>58</v>
      </c>
      <c r="J79">
        <v>45</v>
      </c>
      <c r="K79" t="s">
        <v>77</v>
      </c>
    </row>
    <row r="80" spans="1:11" x14ac:dyDescent="0.3">
      <c r="A80" t="s">
        <v>160</v>
      </c>
      <c r="B80" t="s">
        <v>50</v>
      </c>
      <c r="C80" s="7">
        <v>45967</v>
      </c>
      <c r="D80" s="7">
        <v>45975</v>
      </c>
      <c r="E80">
        <v>8</v>
      </c>
      <c r="F80">
        <v>709144.27902123309</v>
      </c>
      <c r="G80">
        <v>13378.37</v>
      </c>
      <c r="H80" t="s">
        <v>79</v>
      </c>
      <c r="I80" t="s">
        <v>62</v>
      </c>
      <c r="J80">
        <v>51</v>
      </c>
      <c r="K80" t="s">
        <v>59</v>
      </c>
    </row>
    <row r="81" spans="1:11" x14ac:dyDescent="0.3">
      <c r="A81" t="s">
        <v>161</v>
      </c>
      <c r="B81" t="s">
        <v>46</v>
      </c>
      <c r="C81" s="7">
        <v>45387</v>
      </c>
      <c r="D81" s="7">
        <v>45400</v>
      </c>
      <c r="E81">
        <v>13</v>
      </c>
      <c r="F81">
        <v>291747.87052453798</v>
      </c>
      <c r="G81">
        <v>14180.13</v>
      </c>
      <c r="H81" t="s">
        <v>91</v>
      </c>
      <c r="I81" t="s">
        <v>83</v>
      </c>
      <c r="J81">
        <v>7</v>
      </c>
      <c r="K81" t="s">
        <v>66</v>
      </c>
    </row>
    <row r="82" spans="1:11" x14ac:dyDescent="0.3">
      <c r="A82" t="s">
        <v>162</v>
      </c>
      <c r="B82" t="s">
        <v>48</v>
      </c>
      <c r="C82" s="7">
        <v>45983</v>
      </c>
      <c r="D82" s="7">
        <v>45990</v>
      </c>
      <c r="E82">
        <v>7</v>
      </c>
      <c r="F82">
        <v>889598.63549227302</v>
      </c>
      <c r="G82">
        <v>13556.78</v>
      </c>
      <c r="H82" t="s">
        <v>91</v>
      </c>
      <c r="I82" t="s">
        <v>62</v>
      </c>
      <c r="J82">
        <v>55</v>
      </c>
      <c r="K82" t="s">
        <v>70</v>
      </c>
    </row>
    <row r="83" spans="1:11" x14ac:dyDescent="0.3">
      <c r="A83" t="s">
        <v>163</v>
      </c>
      <c r="B83" t="s">
        <v>50</v>
      </c>
      <c r="C83" s="7">
        <v>45941</v>
      </c>
      <c r="D83" s="7">
        <v>45950</v>
      </c>
      <c r="E83">
        <v>9</v>
      </c>
      <c r="F83">
        <v>231753.51212071622</v>
      </c>
      <c r="G83">
        <v>8275.27</v>
      </c>
      <c r="H83" t="s">
        <v>68</v>
      </c>
      <c r="I83" t="s">
        <v>58</v>
      </c>
      <c r="J83">
        <v>60</v>
      </c>
      <c r="K83" t="s">
        <v>70</v>
      </c>
    </row>
    <row r="84" spans="1:11" x14ac:dyDescent="0.3">
      <c r="A84" t="s">
        <v>164</v>
      </c>
      <c r="B84" t="s">
        <v>45</v>
      </c>
      <c r="C84" s="7">
        <v>45517</v>
      </c>
      <c r="D84" s="7">
        <v>45528</v>
      </c>
      <c r="E84">
        <v>11</v>
      </c>
      <c r="F84">
        <v>36089.855054295156</v>
      </c>
      <c r="G84">
        <v>4410.34</v>
      </c>
      <c r="H84" t="s">
        <v>57</v>
      </c>
      <c r="I84" t="s">
        <v>58</v>
      </c>
      <c r="J84">
        <v>9</v>
      </c>
      <c r="K84" t="s">
        <v>70</v>
      </c>
    </row>
    <row r="85" spans="1:11" x14ac:dyDescent="0.3">
      <c r="A85" t="s">
        <v>165</v>
      </c>
      <c r="B85" t="s">
        <v>42</v>
      </c>
      <c r="C85" s="7">
        <v>45711</v>
      </c>
      <c r="D85" s="7">
        <v>45711</v>
      </c>
      <c r="E85">
        <v>0</v>
      </c>
      <c r="F85">
        <v>735774.84593692434</v>
      </c>
      <c r="G85">
        <v>14161.55</v>
      </c>
      <c r="H85" t="s">
        <v>79</v>
      </c>
      <c r="I85" t="s">
        <v>62</v>
      </c>
      <c r="J85">
        <v>59</v>
      </c>
      <c r="K85" t="s">
        <v>77</v>
      </c>
    </row>
    <row r="86" spans="1:11" x14ac:dyDescent="0.3">
      <c r="A86" t="s">
        <v>166</v>
      </c>
      <c r="B86" t="s">
        <v>39</v>
      </c>
      <c r="C86" s="7">
        <v>45670</v>
      </c>
      <c r="D86" s="7">
        <v>45672</v>
      </c>
      <c r="E86">
        <v>2</v>
      </c>
      <c r="F86">
        <v>134600.97645423751</v>
      </c>
      <c r="G86">
        <v>5632.83</v>
      </c>
      <c r="H86" t="s">
        <v>91</v>
      </c>
      <c r="I86" t="s">
        <v>73</v>
      </c>
      <c r="J86">
        <v>15</v>
      </c>
      <c r="K86" t="s">
        <v>70</v>
      </c>
    </row>
    <row r="87" spans="1:11" x14ac:dyDescent="0.3">
      <c r="A87" t="s">
        <v>167</v>
      </c>
      <c r="B87" t="s">
        <v>47</v>
      </c>
      <c r="C87" s="7">
        <v>45644</v>
      </c>
      <c r="D87" s="7">
        <v>45655</v>
      </c>
      <c r="E87">
        <v>11</v>
      </c>
      <c r="F87">
        <v>770735.40438808792</v>
      </c>
      <c r="G87">
        <v>5846.88</v>
      </c>
      <c r="H87" t="s">
        <v>79</v>
      </c>
      <c r="I87" t="s">
        <v>83</v>
      </c>
      <c r="J87">
        <v>59</v>
      </c>
      <c r="K87" t="s">
        <v>70</v>
      </c>
    </row>
    <row r="88" spans="1:11" x14ac:dyDescent="0.3">
      <c r="A88" t="s">
        <v>168</v>
      </c>
      <c r="B88" t="s">
        <v>53</v>
      </c>
      <c r="C88" s="7">
        <v>45610</v>
      </c>
      <c r="D88" s="7">
        <v>45623</v>
      </c>
      <c r="E88">
        <v>13</v>
      </c>
      <c r="F88">
        <v>734698.90192921623</v>
      </c>
      <c r="G88">
        <v>11265.64</v>
      </c>
      <c r="H88" t="s">
        <v>79</v>
      </c>
      <c r="I88" t="s">
        <v>58</v>
      </c>
      <c r="J88">
        <v>60</v>
      </c>
      <c r="K88" t="s">
        <v>59</v>
      </c>
    </row>
    <row r="89" spans="1:11" x14ac:dyDescent="0.3">
      <c r="A89" t="s">
        <v>169</v>
      </c>
      <c r="B89" t="s">
        <v>38</v>
      </c>
      <c r="C89" s="7">
        <v>45471</v>
      </c>
      <c r="D89" s="7">
        <v>45476</v>
      </c>
      <c r="E89">
        <v>5</v>
      </c>
      <c r="F89">
        <v>515865.61000023322</v>
      </c>
      <c r="G89">
        <v>2413.7800000000002</v>
      </c>
      <c r="H89" t="s">
        <v>91</v>
      </c>
      <c r="I89" t="s">
        <v>73</v>
      </c>
      <c r="J89">
        <v>10</v>
      </c>
      <c r="K89" t="s">
        <v>59</v>
      </c>
    </row>
    <row r="90" spans="1:11" x14ac:dyDescent="0.3">
      <c r="A90" t="s">
        <v>170</v>
      </c>
      <c r="B90" t="s">
        <v>45</v>
      </c>
      <c r="C90" s="7">
        <v>45639</v>
      </c>
      <c r="D90" s="7">
        <v>45647</v>
      </c>
      <c r="E90">
        <v>8</v>
      </c>
      <c r="F90">
        <v>382227.52086340147</v>
      </c>
      <c r="G90">
        <v>1459.17</v>
      </c>
      <c r="H90" t="s">
        <v>91</v>
      </c>
      <c r="I90" t="s">
        <v>69</v>
      </c>
      <c r="J90">
        <v>50</v>
      </c>
      <c r="K90" t="s">
        <v>66</v>
      </c>
    </row>
    <row r="91" spans="1:11" x14ac:dyDescent="0.3">
      <c r="A91" t="s">
        <v>172</v>
      </c>
      <c r="B91" t="s">
        <v>45</v>
      </c>
      <c r="C91" s="7">
        <v>45557</v>
      </c>
      <c r="D91" s="7">
        <v>45560</v>
      </c>
      <c r="E91">
        <v>3</v>
      </c>
      <c r="F91">
        <v>653958.00570498488</v>
      </c>
      <c r="G91">
        <v>2508.67</v>
      </c>
      <c r="H91" t="s">
        <v>65</v>
      </c>
      <c r="I91" t="s">
        <v>83</v>
      </c>
      <c r="J91">
        <v>8</v>
      </c>
      <c r="K91" t="s">
        <v>59</v>
      </c>
    </row>
    <row r="92" spans="1:11" x14ac:dyDescent="0.3">
      <c r="A92" t="s">
        <v>173</v>
      </c>
      <c r="B92" t="s">
        <v>47</v>
      </c>
      <c r="C92" s="7">
        <v>45673</v>
      </c>
      <c r="D92" s="7">
        <v>45673</v>
      </c>
      <c r="E92">
        <v>0</v>
      </c>
      <c r="F92">
        <v>329128.98541807185</v>
      </c>
      <c r="G92">
        <v>12103.36</v>
      </c>
      <c r="H92" t="s">
        <v>61</v>
      </c>
      <c r="I92" t="s">
        <v>69</v>
      </c>
      <c r="J92">
        <v>31</v>
      </c>
      <c r="K92" t="s">
        <v>59</v>
      </c>
    </row>
    <row r="93" spans="1:11" x14ac:dyDescent="0.3">
      <c r="A93" t="s">
        <v>174</v>
      </c>
      <c r="B93" t="s">
        <v>41</v>
      </c>
      <c r="C93" s="7">
        <v>45860</v>
      </c>
      <c r="D93" s="7">
        <v>45863</v>
      </c>
      <c r="E93">
        <v>3</v>
      </c>
      <c r="F93">
        <v>522032.28082127043</v>
      </c>
      <c r="G93">
        <v>11305.26</v>
      </c>
      <c r="H93" t="s">
        <v>91</v>
      </c>
      <c r="I93" t="s">
        <v>69</v>
      </c>
      <c r="J93">
        <v>40</v>
      </c>
      <c r="K93" t="s">
        <v>66</v>
      </c>
    </row>
    <row r="94" spans="1:11" x14ac:dyDescent="0.3">
      <c r="A94" t="s">
        <v>175</v>
      </c>
      <c r="B94" t="s">
        <v>48</v>
      </c>
      <c r="C94" s="7">
        <v>45691</v>
      </c>
      <c r="D94" s="7">
        <v>45701</v>
      </c>
      <c r="E94">
        <v>10</v>
      </c>
      <c r="F94">
        <v>260798.28397932244</v>
      </c>
      <c r="G94">
        <v>12810.83</v>
      </c>
      <c r="H94" t="s">
        <v>65</v>
      </c>
      <c r="I94" t="s">
        <v>62</v>
      </c>
      <c r="J94">
        <v>56</v>
      </c>
      <c r="K94" t="s">
        <v>59</v>
      </c>
    </row>
    <row r="95" spans="1:11" x14ac:dyDescent="0.3">
      <c r="A95" t="s">
        <v>176</v>
      </c>
      <c r="B95" t="s">
        <v>42</v>
      </c>
      <c r="C95" s="7">
        <v>45845</v>
      </c>
      <c r="D95" s="7">
        <v>45851</v>
      </c>
      <c r="E95">
        <v>6</v>
      </c>
      <c r="F95">
        <v>486059.92850689613</v>
      </c>
      <c r="G95">
        <v>10703.39</v>
      </c>
      <c r="H95" t="s">
        <v>61</v>
      </c>
      <c r="I95" t="s">
        <v>69</v>
      </c>
      <c r="J95">
        <v>56</v>
      </c>
      <c r="K95" t="s">
        <v>77</v>
      </c>
    </row>
    <row r="96" spans="1:11" x14ac:dyDescent="0.3">
      <c r="A96" t="s">
        <v>177</v>
      </c>
      <c r="B96" t="s">
        <v>40</v>
      </c>
      <c r="C96" s="7">
        <v>45867</v>
      </c>
      <c r="D96" s="7">
        <v>45875</v>
      </c>
      <c r="E96">
        <v>8</v>
      </c>
      <c r="F96">
        <v>882790.46322626236</v>
      </c>
      <c r="G96">
        <v>518.03</v>
      </c>
      <c r="H96" t="s">
        <v>76</v>
      </c>
      <c r="I96" t="s">
        <v>58</v>
      </c>
      <c r="J96">
        <v>20</v>
      </c>
      <c r="K96" t="s">
        <v>70</v>
      </c>
    </row>
    <row r="97" spans="1:11" x14ac:dyDescent="0.3">
      <c r="A97" t="s">
        <v>178</v>
      </c>
      <c r="B97" t="s">
        <v>44</v>
      </c>
      <c r="C97" s="7">
        <v>45650</v>
      </c>
      <c r="D97" s="7">
        <v>45655</v>
      </c>
      <c r="E97">
        <v>5</v>
      </c>
      <c r="F97">
        <v>652962.72574035765</v>
      </c>
      <c r="G97">
        <v>5459.6</v>
      </c>
      <c r="H97" t="s">
        <v>61</v>
      </c>
      <c r="I97" t="s">
        <v>73</v>
      </c>
      <c r="J97">
        <v>33</v>
      </c>
      <c r="K97" t="s">
        <v>70</v>
      </c>
    </row>
    <row r="98" spans="1:11" x14ac:dyDescent="0.3">
      <c r="A98" t="s">
        <v>179</v>
      </c>
      <c r="B98" t="s">
        <v>48</v>
      </c>
      <c r="C98" s="7">
        <v>45455</v>
      </c>
      <c r="D98" s="7">
        <v>45463</v>
      </c>
      <c r="E98">
        <v>8</v>
      </c>
      <c r="F98">
        <v>904408.4267719232</v>
      </c>
      <c r="G98">
        <v>3538.62</v>
      </c>
      <c r="H98" t="s">
        <v>61</v>
      </c>
      <c r="I98" t="s">
        <v>69</v>
      </c>
      <c r="J98">
        <v>43</v>
      </c>
      <c r="K98" t="s">
        <v>66</v>
      </c>
    </row>
    <row r="99" spans="1:11" x14ac:dyDescent="0.3">
      <c r="A99" t="s">
        <v>181</v>
      </c>
      <c r="B99" t="s">
        <v>43</v>
      </c>
      <c r="C99" s="7">
        <v>45885</v>
      </c>
      <c r="D99" s="7">
        <v>45896</v>
      </c>
      <c r="E99">
        <v>11</v>
      </c>
      <c r="F99">
        <v>115590.30343492936</v>
      </c>
      <c r="G99">
        <v>4900.4399999999996</v>
      </c>
      <c r="H99" t="s">
        <v>76</v>
      </c>
      <c r="I99" t="s">
        <v>83</v>
      </c>
      <c r="J99">
        <v>49</v>
      </c>
      <c r="K99" t="s">
        <v>70</v>
      </c>
    </row>
    <row r="100" spans="1:11" x14ac:dyDescent="0.3">
      <c r="A100" t="s">
        <v>183</v>
      </c>
      <c r="B100" t="s">
        <v>50</v>
      </c>
      <c r="C100" s="7">
        <v>45858</v>
      </c>
      <c r="D100" s="7">
        <v>45867</v>
      </c>
      <c r="E100">
        <v>9</v>
      </c>
      <c r="F100">
        <v>541610.77789187199</v>
      </c>
      <c r="G100">
        <v>3617.49</v>
      </c>
      <c r="H100" t="s">
        <v>76</v>
      </c>
      <c r="I100" t="s">
        <v>73</v>
      </c>
      <c r="J100">
        <v>44</v>
      </c>
      <c r="K100" t="s">
        <v>59</v>
      </c>
    </row>
    <row r="101" spans="1:11" x14ac:dyDescent="0.3">
      <c r="A101" t="s">
        <v>185</v>
      </c>
      <c r="B101" t="s">
        <v>45</v>
      </c>
      <c r="C101" s="7">
        <v>45554</v>
      </c>
      <c r="D101" s="7">
        <v>45557</v>
      </c>
      <c r="E101">
        <v>3</v>
      </c>
      <c r="F101">
        <v>33779.17955249959</v>
      </c>
      <c r="G101">
        <v>11515.18</v>
      </c>
      <c r="H101" t="s">
        <v>57</v>
      </c>
      <c r="I101" t="s">
        <v>62</v>
      </c>
      <c r="J101">
        <v>27</v>
      </c>
      <c r="K101" t="s">
        <v>66</v>
      </c>
    </row>
    <row r="102" spans="1:11" x14ac:dyDescent="0.3">
      <c r="A102" t="s">
        <v>186</v>
      </c>
      <c r="B102" t="s">
        <v>50</v>
      </c>
      <c r="C102" s="7">
        <v>45566</v>
      </c>
      <c r="D102" s="7">
        <v>45580</v>
      </c>
      <c r="E102">
        <v>14</v>
      </c>
      <c r="F102">
        <v>909709.3882172188</v>
      </c>
      <c r="G102">
        <v>6701.42</v>
      </c>
      <c r="H102" t="s">
        <v>91</v>
      </c>
      <c r="I102" t="s">
        <v>69</v>
      </c>
      <c r="J102">
        <v>45</v>
      </c>
      <c r="K102" t="s">
        <v>70</v>
      </c>
    </row>
    <row r="103" spans="1:11" x14ac:dyDescent="0.3">
      <c r="A103" t="s">
        <v>187</v>
      </c>
      <c r="B103" t="s">
        <v>53</v>
      </c>
      <c r="C103" s="7">
        <v>45810</v>
      </c>
      <c r="D103" s="7">
        <v>45822</v>
      </c>
      <c r="E103">
        <v>12</v>
      </c>
      <c r="F103">
        <v>42891.675820850593</v>
      </c>
      <c r="G103">
        <v>11082.91</v>
      </c>
      <c r="H103" t="s">
        <v>68</v>
      </c>
      <c r="I103" t="s">
        <v>62</v>
      </c>
      <c r="J103">
        <v>26</v>
      </c>
      <c r="K103" t="s">
        <v>77</v>
      </c>
    </row>
    <row r="104" spans="1:11" x14ac:dyDescent="0.3">
      <c r="A104" t="s">
        <v>188</v>
      </c>
      <c r="B104" t="s">
        <v>46</v>
      </c>
      <c r="C104" s="7">
        <v>45804</v>
      </c>
      <c r="D104" s="7">
        <v>45817</v>
      </c>
      <c r="E104">
        <v>13</v>
      </c>
      <c r="F104">
        <v>836658.88753332302</v>
      </c>
      <c r="G104">
        <v>13191.14</v>
      </c>
      <c r="H104" t="s">
        <v>76</v>
      </c>
      <c r="I104" t="s">
        <v>58</v>
      </c>
      <c r="J104">
        <v>35</v>
      </c>
      <c r="K104" t="s">
        <v>89</v>
      </c>
    </row>
    <row r="105" spans="1:11" x14ac:dyDescent="0.3">
      <c r="A105" t="s">
        <v>189</v>
      </c>
      <c r="B105" t="s">
        <v>53</v>
      </c>
      <c r="C105" s="7">
        <v>45763</v>
      </c>
      <c r="D105" s="7">
        <v>45768</v>
      </c>
      <c r="E105">
        <v>5</v>
      </c>
      <c r="F105">
        <v>659995.74108708173</v>
      </c>
      <c r="G105">
        <v>13626</v>
      </c>
      <c r="H105" t="s">
        <v>79</v>
      </c>
      <c r="I105" t="s">
        <v>73</v>
      </c>
      <c r="J105">
        <v>46</v>
      </c>
      <c r="K105" t="s">
        <v>59</v>
      </c>
    </row>
    <row r="106" spans="1:11" x14ac:dyDescent="0.3">
      <c r="A106" t="s">
        <v>190</v>
      </c>
      <c r="B106" t="s">
        <v>46</v>
      </c>
      <c r="C106" s="7">
        <v>45649</v>
      </c>
      <c r="D106" s="7">
        <v>45663</v>
      </c>
      <c r="E106">
        <v>14</v>
      </c>
      <c r="F106">
        <v>321458.27952604741</v>
      </c>
      <c r="G106">
        <v>13095.32</v>
      </c>
      <c r="H106" t="s">
        <v>79</v>
      </c>
      <c r="I106" t="s">
        <v>73</v>
      </c>
      <c r="J106">
        <v>11</v>
      </c>
      <c r="K106" t="s">
        <v>66</v>
      </c>
    </row>
    <row r="107" spans="1:11" x14ac:dyDescent="0.3">
      <c r="A107" t="s">
        <v>191</v>
      </c>
      <c r="B107" t="s">
        <v>53</v>
      </c>
      <c r="C107" s="7">
        <v>45361</v>
      </c>
      <c r="D107" s="7">
        <v>45370</v>
      </c>
      <c r="E107">
        <v>9</v>
      </c>
      <c r="F107">
        <v>729956.87243597663</v>
      </c>
      <c r="G107">
        <v>380.67</v>
      </c>
      <c r="H107" t="s">
        <v>68</v>
      </c>
      <c r="I107" t="s">
        <v>69</v>
      </c>
      <c r="J107">
        <v>35</v>
      </c>
      <c r="K107" t="s">
        <v>59</v>
      </c>
    </row>
    <row r="108" spans="1:11" x14ac:dyDescent="0.3">
      <c r="A108" t="s">
        <v>192</v>
      </c>
      <c r="B108" t="s">
        <v>47</v>
      </c>
      <c r="C108" s="7">
        <v>45826</v>
      </c>
      <c r="D108" s="7">
        <v>45826</v>
      </c>
      <c r="E108">
        <v>0</v>
      </c>
      <c r="F108">
        <v>178690.5450723356</v>
      </c>
      <c r="G108">
        <v>1014.95</v>
      </c>
      <c r="H108" t="s">
        <v>61</v>
      </c>
      <c r="I108" t="s">
        <v>83</v>
      </c>
      <c r="J108">
        <v>10</v>
      </c>
      <c r="K108" t="s">
        <v>59</v>
      </c>
    </row>
    <row r="109" spans="1:11" x14ac:dyDescent="0.3">
      <c r="A109" t="s">
        <v>193</v>
      </c>
      <c r="B109" t="s">
        <v>43</v>
      </c>
      <c r="C109" s="7">
        <v>45435</v>
      </c>
      <c r="D109" s="7">
        <v>45441</v>
      </c>
      <c r="E109">
        <v>6</v>
      </c>
      <c r="F109">
        <v>946776.1038877212</v>
      </c>
      <c r="G109">
        <v>2587.7600000000002</v>
      </c>
      <c r="H109" t="s">
        <v>61</v>
      </c>
      <c r="I109" t="s">
        <v>58</v>
      </c>
      <c r="J109">
        <v>43</v>
      </c>
      <c r="K109" t="s">
        <v>77</v>
      </c>
    </row>
    <row r="110" spans="1:11" x14ac:dyDescent="0.3">
      <c r="A110" t="s">
        <v>194</v>
      </c>
      <c r="B110" t="s">
        <v>46</v>
      </c>
      <c r="C110" s="7">
        <v>45619</v>
      </c>
      <c r="D110" s="7">
        <v>45628</v>
      </c>
      <c r="E110">
        <v>9</v>
      </c>
      <c r="F110">
        <v>58424.902888446071</v>
      </c>
      <c r="G110">
        <v>8656.23</v>
      </c>
      <c r="H110" t="s">
        <v>65</v>
      </c>
      <c r="I110" t="s">
        <v>58</v>
      </c>
      <c r="J110">
        <v>6</v>
      </c>
      <c r="K110" t="s">
        <v>89</v>
      </c>
    </row>
    <row r="111" spans="1:11" x14ac:dyDescent="0.3">
      <c r="A111" t="s">
        <v>195</v>
      </c>
      <c r="B111" t="s">
        <v>44</v>
      </c>
      <c r="C111" s="7">
        <v>45917</v>
      </c>
      <c r="D111" s="7">
        <v>45921</v>
      </c>
      <c r="E111">
        <v>4</v>
      </c>
      <c r="F111">
        <v>502060.62593439309</v>
      </c>
      <c r="G111">
        <v>14926.36</v>
      </c>
      <c r="H111" t="s">
        <v>61</v>
      </c>
      <c r="I111" t="s">
        <v>73</v>
      </c>
      <c r="J111">
        <v>40</v>
      </c>
      <c r="K111" t="s">
        <v>77</v>
      </c>
    </row>
    <row r="112" spans="1:11" x14ac:dyDescent="0.3">
      <c r="A112" t="s">
        <v>196</v>
      </c>
      <c r="B112" t="s">
        <v>38</v>
      </c>
      <c r="C112" s="7">
        <v>45645</v>
      </c>
      <c r="D112" s="7">
        <v>45656</v>
      </c>
      <c r="E112">
        <v>11</v>
      </c>
      <c r="F112">
        <v>808459.50025220157</v>
      </c>
      <c r="G112">
        <v>12033.55</v>
      </c>
      <c r="H112" t="s">
        <v>68</v>
      </c>
      <c r="I112" t="s">
        <v>69</v>
      </c>
      <c r="J112">
        <v>3</v>
      </c>
      <c r="K112" t="s">
        <v>70</v>
      </c>
    </row>
    <row r="113" spans="1:11" x14ac:dyDescent="0.3">
      <c r="A113" t="s">
        <v>197</v>
      </c>
      <c r="B113" t="s">
        <v>46</v>
      </c>
      <c r="C113" s="7">
        <v>45614</v>
      </c>
      <c r="D113" s="7">
        <v>45624</v>
      </c>
      <c r="E113">
        <v>10</v>
      </c>
      <c r="F113">
        <v>194212.97459085728</v>
      </c>
      <c r="G113">
        <v>4368.08</v>
      </c>
      <c r="H113" t="s">
        <v>79</v>
      </c>
      <c r="I113" t="s">
        <v>83</v>
      </c>
      <c r="J113">
        <v>20</v>
      </c>
      <c r="K113" t="s">
        <v>70</v>
      </c>
    </row>
    <row r="114" spans="1:11" x14ac:dyDescent="0.3">
      <c r="A114" t="s">
        <v>198</v>
      </c>
      <c r="B114" t="s">
        <v>50</v>
      </c>
      <c r="C114" s="7">
        <v>45997</v>
      </c>
      <c r="D114" s="7">
        <v>46002</v>
      </c>
      <c r="E114">
        <v>5</v>
      </c>
      <c r="F114">
        <v>327315.63232361712</v>
      </c>
      <c r="G114">
        <v>10921.07</v>
      </c>
      <c r="H114" t="s">
        <v>91</v>
      </c>
      <c r="I114" t="s">
        <v>83</v>
      </c>
      <c r="J114">
        <v>54</v>
      </c>
      <c r="K114" t="s">
        <v>66</v>
      </c>
    </row>
    <row r="115" spans="1:11" x14ac:dyDescent="0.3">
      <c r="A115" t="s">
        <v>199</v>
      </c>
      <c r="B115" t="s">
        <v>43</v>
      </c>
      <c r="C115" s="7">
        <v>45955</v>
      </c>
      <c r="D115" s="7">
        <v>45969</v>
      </c>
      <c r="E115">
        <v>14</v>
      </c>
      <c r="F115">
        <v>453737.14777946996</v>
      </c>
      <c r="G115">
        <v>726.26</v>
      </c>
      <c r="H115" t="s">
        <v>76</v>
      </c>
      <c r="I115" t="s">
        <v>69</v>
      </c>
      <c r="J115">
        <v>10</v>
      </c>
      <c r="K115" t="s">
        <v>89</v>
      </c>
    </row>
    <row r="116" spans="1:11" x14ac:dyDescent="0.3">
      <c r="A116" t="s">
        <v>200</v>
      </c>
      <c r="B116" t="s">
        <v>45</v>
      </c>
      <c r="C116" s="7">
        <v>45554</v>
      </c>
      <c r="D116" s="7">
        <v>45567</v>
      </c>
      <c r="E116">
        <v>13</v>
      </c>
      <c r="F116">
        <v>497960.09788612695</v>
      </c>
      <c r="G116">
        <v>8561.15</v>
      </c>
      <c r="H116" t="s">
        <v>65</v>
      </c>
      <c r="I116" t="s">
        <v>62</v>
      </c>
      <c r="J116">
        <v>36</v>
      </c>
      <c r="K116" t="s">
        <v>77</v>
      </c>
    </row>
    <row r="117" spans="1:11" x14ac:dyDescent="0.3">
      <c r="A117" t="s">
        <v>201</v>
      </c>
      <c r="B117" t="s">
        <v>41</v>
      </c>
      <c r="C117" s="7">
        <v>45926</v>
      </c>
      <c r="D117" s="7">
        <v>45938</v>
      </c>
      <c r="E117">
        <v>12</v>
      </c>
      <c r="F117">
        <v>873139.99495405739</v>
      </c>
      <c r="G117">
        <v>11977.59</v>
      </c>
      <c r="H117" t="s">
        <v>57</v>
      </c>
      <c r="I117" t="s">
        <v>73</v>
      </c>
      <c r="J117">
        <v>18</v>
      </c>
      <c r="K117" t="s">
        <v>59</v>
      </c>
    </row>
    <row r="118" spans="1:11" x14ac:dyDescent="0.3">
      <c r="A118" t="s">
        <v>202</v>
      </c>
      <c r="B118" t="s">
        <v>44</v>
      </c>
      <c r="C118" s="7">
        <v>45783</v>
      </c>
      <c r="D118" s="7">
        <v>45792</v>
      </c>
      <c r="E118">
        <v>9</v>
      </c>
      <c r="F118">
        <v>578307.20114413695</v>
      </c>
      <c r="G118">
        <v>2973.21</v>
      </c>
      <c r="H118" t="s">
        <v>57</v>
      </c>
      <c r="I118" t="s">
        <v>62</v>
      </c>
      <c r="J118">
        <v>46</v>
      </c>
      <c r="K118" t="s">
        <v>70</v>
      </c>
    </row>
    <row r="119" spans="1:11" x14ac:dyDescent="0.3">
      <c r="A119" t="s">
        <v>203</v>
      </c>
      <c r="B119" t="s">
        <v>42</v>
      </c>
      <c r="C119" s="7">
        <v>45984</v>
      </c>
      <c r="D119" s="7">
        <v>45998</v>
      </c>
      <c r="E119">
        <v>14</v>
      </c>
      <c r="F119">
        <v>228828.64662160445</v>
      </c>
      <c r="G119">
        <v>6888.21</v>
      </c>
      <c r="H119" t="s">
        <v>61</v>
      </c>
      <c r="I119" t="s">
        <v>73</v>
      </c>
      <c r="J119">
        <v>34</v>
      </c>
      <c r="K119" t="s">
        <v>70</v>
      </c>
    </row>
    <row r="120" spans="1:11" x14ac:dyDescent="0.3">
      <c r="A120" t="s">
        <v>204</v>
      </c>
      <c r="B120" t="s">
        <v>39</v>
      </c>
      <c r="C120" s="7">
        <v>45507</v>
      </c>
      <c r="D120" s="7">
        <v>45519</v>
      </c>
      <c r="E120">
        <v>12</v>
      </c>
      <c r="F120">
        <v>195078.04881665317</v>
      </c>
      <c r="G120">
        <v>1570.54</v>
      </c>
      <c r="H120" t="s">
        <v>91</v>
      </c>
      <c r="I120" t="s">
        <v>83</v>
      </c>
      <c r="J120">
        <v>52</v>
      </c>
      <c r="K120" t="s">
        <v>89</v>
      </c>
    </row>
    <row r="121" spans="1:11" x14ac:dyDescent="0.3">
      <c r="A121" t="s">
        <v>205</v>
      </c>
      <c r="B121" t="s">
        <v>41</v>
      </c>
      <c r="C121" s="7">
        <v>45995</v>
      </c>
      <c r="D121" s="7">
        <v>45999</v>
      </c>
      <c r="E121">
        <v>4</v>
      </c>
      <c r="F121">
        <v>739582.56986030645</v>
      </c>
      <c r="G121">
        <v>2320.77</v>
      </c>
      <c r="H121" t="s">
        <v>79</v>
      </c>
      <c r="I121" t="s">
        <v>83</v>
      </c>
      <c r="J121">
        <v>53</v>
      </c>
      <c r="K121" t="s">
        <v>77</v>
      </c>
    </row>
    <row r="122" spans="1:11" x14ac:dyDescent="0.3">
      <c r="A122" t="s">
        <v>206</v>
      </c>
      <c r="B122" t="s">
        <v>43</v>
      </c>
      <c r="C122" s="7">
        <v>45611</v>
      </c>
      <c r="D122" s="7">
        <v>45619</v>
      </c>
      <c r="E122">
        <v>8</v>
      </c>
      <c r="F122">
        <v>730701.26817212405</v>
      </c>
      <c r="G122">
        <v>11234.21</v>
      </c>
      <c r="H122" t="s">
        <v>57</v>
      </c>
      <c r="I122" t="s">
        <v>58</v>
      </c>
      <c r="J122">
        <v>49</v>
      </c>
      <c r="K122" t="s">
        <v>70</v>
      </c>
    </row>
    <row r="123" spans="1:11" x14ac:dyDescent="0.3">
      <c r="A123" t="s">
        <v>207</v>
      </c>
      <c r="B123" t="s">
        <v>43</v>
      </c>
      <c r="C123" s="7">
        <v>45682</v>
      </c>
      <c r="D123" s="7">
        <v>45686</v>
      </c>
      <c r="E123">
        <v>4</v>
      </c>
      <c r="F123">
        <v>508597.58917366742</v>
      </c>
      <c r="G123">
        <v>11637.25</v>
      </c>
      <c r="H123" t="s">
        <v>65</v>
      </c>
      <c r="I123" t="s">
        <v>83</v>
      </c>
      <c r="J123">
        <v>18</v>
      </c>
      <c r="K123" t="s">
        <v>66</v>
      </c>
    </row>
    <row r="124" spans="1:11" x14ac:dyDescent="0.3">
      <c r="A124" t="s">
        <v>208</v>
      </c>
      <c r="B124" t="s">
        <v>42</v>
      </c>
      <c r="C124" s="7">
        <v>45960</v>
      </c>
      <c r="D124" s="7">
        <v>45968</v>
      </c>
      <c r="E124">
        <v>8</v>
      </c>
      <c r="F124">
        <v>491301.82100725861</v>
      </c>
      <c r="G124">
        <v>3257.35</v>
      </c>
      <c r="H124" t="s">
        <v>61</v>
      </c>
      <c r="I124" t="s">
        <v>58</v>
      </c>
      <c r="J124">
        <v>21</v>
      </c>
      <c r="K124" t="s">
        <v>70</v>
      </c>
    </row>
    <row r="125" spans="1:11" x14ac:dyDescent="0.3">
      <c r="A125" t="s">
        <v>209</v>
      </c>
      <c r="B125" t="s">
        <v>49</v>
      </c>
      <c r="C125" s="7">
        <v>45681</v>
      </c>
      <c r="D125" s="7">
        <v>45683</v>
      </c>
      <c r="E125">
        <v>2</v>
      </c>
      <c r="F125">
        <v>70824.300124854257</v>
      </c>
      <c r="G125">
        <v>9276.2900000000009</v>
      </c>
      <c r="H125" t="s">
        <v>61</v>
      </c>
      <c r="I125" t="s">
        <v>58</v>
      </c>
      <c r="J125">
        <v>29</v>
      </c>
      <c r="K125" t="s">
        <v>59</v>
      </c>
    </row>
    <row r="126" spans="1:11" x14ac:dyDescent="0.3">
      <c r="A126" t="s">
        <v>210</v>
      </c>
      <c r="B126" t="s">
        <v>38</v>
      </c>
      <c r="C126" s="7">
        <v>45577</v>
      </c>
      <c r="D126" s="7">
        <v>45578</v>
      </c>
      <c r="E126">
        <v>1</v>
      </c>
      <c r="F126">
        <v>367422.17563337</v>
      </c>
      <c r="G126">
        <v>1474.57</v>
      </c>
      <c r="H126" t="s">
        <v>68</v>
      </c>
      <c r="I126" t="s">
        <v>73</v>
      </c>
      <c r="J126">
        <v>46</v>
      </c>
      <c r="K126" t="s">
        <v>77</v>
      </c>
    </row>
    <row r="127" spans="1:11" x14ac:dyDescent="0.3">
      <c r="A127" t="s">
        <v>211</v>
      </c>
      <c r="B127" t="s">
        <v>47</v>
      </c>
      <c r="C127" s="7">
        <v>45793</v>
      </c>
      <c r="D127" s="7">
        <v>45806</v>
      </c>
      <c r="E127">
        <v>13</v>
      </c>
      <c r="F127">
        <v>191326.21808847663</v>
      </c>
      <c r="G127">
        <v>11424.36</v>
      </c>
      <c r="H127" t="s">
        <v>79</v>
      </c>
      <c r="I127" t="s">
        <v>58</v>
      </c>
      <c r="J127">
        <v>6</v>
      </c>
      <c r="K127" t="s">
        <v>89</v>
      </c>
    </row>
    <row r="128" spans="1:11" x14ac:dyDescent="0.3">
      <c r="A128" t="s">
        <v>212</v>
      </c>
      <c r="B128" t="s">
        <v>39</v>
      </c>
      <c r="C128" s="7">
        <v>45740</v>
      </c>
      <c r="D128" s="7">
        <v>45747</v>
      </c>
      <c r="E128">
        <v>7</v>
      </c>
      <c r="F128">
        <v>297908.18984611996</v>
      </c>
      <c r="G128">
        <v>9737.4</v>
      </c>
      <c r="H128" t="s">
        <v>79</v>
      </c>
      <c r="I128" t="s">
        <v>69</v>
      </c>
      <c r="J128">
        <v>31</v>
      </c>
      <c r="K128" t="s">
        <v>66</v>
      </c>
    </row>
    <row r="129" spans="1:11" x14ac:dyDescent="0.3">
      <c r="A129" t="s">
        <v>213</v>
      </c>
      <c r="B129" t="s">
        <v>40</v>
      </c>
      <c r="C129" s="7">
        <v>45946</v>
      </c>
      <c r="D129" s="7">
        <v>45952</v>
      </c>
      <c r="E129">
        <v>6</v>
      </c>
      <c r="F129">
        <v>177278.60674344844</v>
      </c>
      <c r="G129">
        <v>13775.51</v>
      </c>
      <c r="H129" t="s">
        <v>61</v>
      </c>
      <c r="I129" t="s">
        <v>62</v>
      </c>
      <c r="J129">
        <v>30</v>
      </c>
      <c r="K129" t="s">
        <v>89</v>
      </c>
    </row>
    <row r="130" spans="1:11" x14ac:dyDescent="0.3">
      <c r="A130" t="s">
        <v>214</v>
      </c>
      <c r="B130" t="s">
        <v>39</v>
      </c>
      <c r="C130" s="7">
        <v>45867</v>
      </c>
      <c r="D130" s="7">
        <v>45874</v>
      </c>
      <c r="E130">
        <v>7</v>
      </c>
      <c r="F130">
        <v>441147.20555940631</v>
      </c>
      <c r="G130">
        <v>2727.86</v>
      </c>
      <c r="H130" t="s">
        <v>79</v>
      </c>
      <c r="I130" t="s">
        <v>62</v>
      </c>
      <c r="J130">
        <v>39</v>
      </c>
      <c r="K130" t="s">
        <v>77</v>
      </c>
    </row>
    <row r="131" spans="1:11" x14ac:dyDescent="0.3">
      <c r="A131" t="s">
        <v>215</v>
      </c>
      <c r="B131" t="s">
        <v>46</v>
      </c>
      <c r="C131" s="7">
        <v>45444</v>
      </c>
      <c r="D131" s="7">
        <v>45449</v>
      </c>
      <c r="E131">
        <v>5</v>
      </c>
      <c r="F131">
        <v>531267.36102910643</v>
      </c>
      <c r="G131">
        <v>1249.68</v>
      </c>
      <c r="H131" t="s">
        <v>61</v>
      </c>
      <c r="I131" t="s">
        <v>58</v>
      </c>
      <c r="J131">
        <v>30</v>
      </c>
      <c r="K131" t="s">
        <v>89</v>
      </c>
    </row>
    <row r="132" spans="1:11" x14ac:dyDescent="0.3">
      <c r="A132" t="s">
        <v>216</v>
      </c>
      <c r="B132" t="s">
        <v>50</v>
      </c>
      <c r="C132" s="7">
        <v>45842</v>
      </c>
      <c r="D132" s="7">
        <v>45850</v>
      </c>
      <c r="E132">
        <v>8</v>
      </c>
      <c r="F132">
        <v>662289.26754034834</v>
      </c>
      <c r="G132">
        <v>2761.66</v>
      </c>
      <c r="H132" t="s">
        <v>65</v>
      </c>
      <c r="I132" t="s">
        <v>83</v>
      </c>
      <c r="J132">
        <v>48</v>
      </c>
      <c r="K132" t="s">
        <v>77</v>
      </c>
    </row>
    <row r="133" spans="1:11" x14ac:dyDescent="0.3">
      <c r="A133" t="s">
        <v>217</v>
      </c>
      <c r="B133" t="s">
        <v>48</v>
      </c>
      <c r="C133" s="7">
        <v>45978</v>
      </c>
      <c r="D133" s="7">
        <v>45983</v>
      </c>
      <c r="E133">
        <v>5</v>
      </c>
      <c r="F133">
        <v>472533.14011719293</v>
      </c>
      <c r="G133">
        <v>9970.44</v>
      </c>
      <c r="H133" t="s">
        <v>57</v>
      </c>
      <c r="I133" t="s">
        <v>73</v>
      </c>
      <c r="J133">
        <v>53</v>
      </c>
      <c r="K133" t="s">
        <v>66</v>
      </c>
    </row>
    <row r="134" spans="1:11" x14ac:dyDescent="0.3">
      <c r="A134" t="s">
        <v>218</v>
      </c>
      <c r="B134" t="s">
        <v>50</v>
      </c>
      <c r="C134" s="7">
        <v>45525</v>
      </c>
      <c r="D134" s="7">
        <v>45532</v>
      </c>
      <c r="E134">
        <v>7</v>
      </c>
      <c r="F134">
        <v>507628.98550675198</v>
      </c>
      <c r="G134">
        <v>5971.74</v>
      </c>
      <c r="H134" t="s">
        <v>91</v>
      </c>
      <c r="I134" t="s">
        <v>69</v>
      </c>
      <c r="J134">
        <v>13</v>
      </c>
      <c r="K134" t="s">
        <v>66</v>
      </c>
    </row>
    <row r="135" spans="1:11" x14ac:dyDescent="0.3">
      <c r="A135" t="s">
        <v>220</v>
      </c>
      <c r="B135" t="s">
        <v>47</v>
      </c>
      <c r="C135" s="7">
        <v>45678</v>
      </c>
      <c r="D135" s="7">
        <v>45691</v>
      </c>
      <c r="E135">
        <v>13</v>
      </c>
      <c r="F135">
        <v>282518.50666621164</v>
      </c>
      <c r="G135">
        <v>5664.5</v>
      </c>
      <c r="H135" t="s">
        <v>91</v>
      </c>
      <c r="I135" t="s">
        <v>83</v>
      </c>
      <c r="J135">
        <v>1</v>
      </c>
      <c r="K135" t="s">
        <v>77</v>
      </c>
    </row>
    <row r="136" spans="1:11" x14ac:dyDescent="0.3">
      <c r="A136" t="s">
        <v>221</v>
      </c>
      <c r="B136" t="s">
        <v>39</v>
      </c>
      <c r="C136" s="7">
        <v>45471</v>
      </c>
      <c r="D136" s="7">
        <v>45474</v>
      </c>
      <c r="E136">
        <v>3</v>
      </c>
      <c r="F136">
        <v>413111.05181428313</v>
      </c>
      <c r="G136">
        <v>8934.43</v>
      </c>
      <c r="H136" t="s">
        <v>65</v>
      </c>
      <c r="I136" t="s">
        <v>62</v>
      </c>
      <c r="J136">
        <v>46</v>
      </c>
      <c r="K136" t="s">
        <v>89</v>
      </c>
    </row>
    <row r="137" spans="1:11" x14ac:dyDescent="0.3">
      <c r="A137" t="s">
        <v>222</v>
      </c>
      <c r="B137" t="s">
        <v>44</v>
      </c>
      <c r="C137" s="7">
        <v>45707</v>
      </c>
      <c r="D137" s="7">
        <v>45717</v>
      </c>
      <c r="E137">
        <v>10</v>
      </c>
      <c r="F137">
        <v>167837.10280331897</v>
      </c>
      <c r="G137">
        <v>2258.2199999999998</v>
      </c>
      <c r="H137" t="s">
        <v>91</v>
      </c>
      <c r="I137" t="s">
        <v>69</v>
      </c>
      <c r="J137">
        <v>54</v>
      </c>
      <c r="K137" t="s">
        <v>70</v>
      </c>
    </row>
    <row r="138" spans="1:11" x14ac:dyDescent="0.3">
      <c r="A138" t="s">
        <v>223</v>
      </c>
      <c r="B138" t="s">
        <v>40</v>
      </c>
      <c r="C138" s="7">
        <v>45984</v>
      </c>
      <c r="D138" s="7">
        <v>45996</v>
      </c>
      <c r="E138">
        <v>12</v>
      </c>
      <c r="F138">
        <v>398051.01145609881</v>
      </c>
      <c r="G138">
        <v>6949.22</v>
      </c>
      <c r="H138" t="s">
        <v>79</v>
      </c>
      <c r="I138" t="s">
        <v>58</v>
      </c>
      <c r="J138">
        <v>60</v>
      </c>
      <c r="K138" t="s">
        <v>89</v>
      </c>
    </row>
    <row r="139" spans="1:11" x14ac:dyDescent="0.3">
      <c r="A139" t="s">
        <v>226</v>
      </c>
      <c r="B139" t="s">
        <v>46</v>
      </c>
      <c r="C139" s="7">
        <v>45963</v>
      </c>
      <c r="D139" s="7">
        <v>45964</v>
      </c>
      <c r="E139">
        <v>1</v>
      </c>
      <c r="F139">
        <v>236035.05790345505</v>
      </c>
      <c r="G139">
        <v>9533.81</v>
      </c>
      <c r="H139" t="s">
        <v>65</v>
      </c>
      <c r="I139" t="s">
        <v>83</v>
      </c>
      <c r="J139">
        <v>44</v>
      </c>
      <c r="K139" t="s">
        <v>77</v>
      </c>
    </row>
    <row r="140" spans="1:11" x14ac:dyDescent="0.3">
      <c r="A140" t="s">
        <v>227</v>
      </c>
      <c r="B140" t="s">
        <v>47</v>
      </c>
      <c r="C140" s="7">
        <v>45849</v>
      </c>
      <c r="D140" s="7">
        <v>45861</v>
      </c>
      <c r="E140">
        <v>12</v>
      </c>
      <c r="F140">
        <v>13415.001999291952</v>
      </c>
      <c r="G140">
        <v>6919.71</v>
      </c>
      <c r="H140" t="s">
        <v>68</v>
      </c>
      <c r="I140" t="s">
        <v>58</v>
      </c>
      <c r="J140">
        <v>47</v>
      </c>
      <c r="K140" t="s">
        <v>70</v>
      </c>
    </row>
    <row r="141" spans="1:11" x14ac:dyDescent="0.3">
      <c r="A141" t="s">
        <v>228</v>
      </c>
      <c r="B141" t="s">
        <v>43</v>
      </c>
      <c r="C141" s="7">
        <v>45593</v>
      </c>
      <c r="D141" s="7">
        <v>45593</v>
      </c>
      <c r="E141">
        <v>0</v>
      </c>
      <c r="F141">
        <v>663160.69326559943</v>
      </c>
      <c r="G141">
        <v>9045.02</v>
      </c>
      <c r="H141" t="s">
        <v>61</v>
      </c>
      <c r="I141" t="s">
        <v>58</v>
      </c>
      <c r="J141">
        <v>17</v>
      </c>
      <c r="K141" t="s">
        <v>59</v>
      </c>
    </row>
    <row r="142" spans="1:11" x14ac:dyDescent="0.3">
      <c r="A142" t="s">
        <v>229</v>
      </c>
      <c r="B142" t="s">
        <v>47</v>
      </c>
      <c r="C142" s="7">
        <v>45422</v>
      </c>
      <c r="D142" s="7">
        <v>45432</v>
      </c>
      <c r="E142">
        <v>10</v>
      </c>
      <c r="F142">
        <v>943575.58331225452</v>
      </c>
      <c r="G142">
        <v>12171.66</v>
      </c>
      <c r="H142" t="s">
        <v>91</v>
      </c>
      <c r="I142" t="s">
        <v>83</v>
      </c>
      <c r="J142">
        <v>19</v>
      </c>
      <c r="K142" t="s">
        <v>89</v>
      </c>
    </row>
    <row r="143" spans="1:11" x14ac:dyDescent="0.3">
      <c r="A143" t="s">
        <v>230</v>
      </c>
      <c r="B143" t="s">
        <v>40</v>
      </c>
      <c r="C143" s="7">
        <v>45822</v>
      </c>
      <c r="D143" s="7">
        <v>45826</v>
      </c>
      <c r="E143">
        <v>4</v>
      </c>
      <c r="F143">
        <v>129027.53568231445</v>
      </c>
      <c r="G143">
        <v>4358.38</v>
      </c>
      <c r="H143" t="s">
        <v>79</v>
      </c>
      <c r="I143" t="s">
        <v>62</v>
      </c>
      <c r="J143">
        <v>1</v>
      </c>
      <c r="K143" t="s">
        <v>59</v>
      </c>
    </row>
    <row r="144" spans="1:11" x14ac:dyDescent="0.3">
      <c r="A144" t="s">
        <v>231</v>
      </c>
      <c r="B144" t="s">
        <v>53</v>
      </c>
      <c r="C144" s="7">
        <v>45743</v>
      </c>
      <c r="D144" s="7">
        <v>45753</v>
      </c>
      <c r="E144">
        <v>10</v>
      </c>
      <c r="F144">
        <v>427294.58524765226</v>
      </c>
      <c r="G144">
        <v>12156.04</v>
      </c>
      <c r="H144" t="s">
        <v>61</v>
      </c>
      <c r="I144" t="s">
        <v>73</v>
      </c>
      <c r="J144">
        <v>32</v>
      </c>
      <c r="K144" t="s">
        <v>66</v>
      </c>
    </row>
    <row r="145" spans="1:11" x14ac:dyDescent="0.3">
      <c r="A145" t="s">
        <v>232</v>
      </c>
      <c r="B145" t="s">
        <v>43</v>
      </c>
      <c r="C145" s="7">
        <v>45936</v>
      </c>
      <c r="D145" s="7">
        <v>45950</v>
      </c>
      <c r="E145">
        <v>14</v>
      </c>
      <c r="F145">
        <v>783442.84934807243</v>
      </c>
      <c r="G145">
        <v>12596.69</v>
      </c>
      <c r="H145" t="s">
        <v>79</v>
      </c>
      <c r="I145" t="s">
        <v>69</v>
      </c>
      <c r="J145">
        <v>50</v>
      </c>
      <c r="K145" t="s">
        <v>89</v>
      </c>
    </row>
    <row r="146" spans="1:11" x14ac:dyDescent="0.3">
      <c r="A146" t="s">
        <v>234</v>
      </c>
      <c r="B146" t="s">
        <v>38</v>
      </c>
      <c r="C146" s="7">
        <v>45774</v>
      </c>
      <c r="D146" s="7">
        <v>45781</v>
      </c>
      <c r="E146">
        <v>7</v>
      </c>
      <c r="F146">
        <v>289338.74678118707</v>
      </c>
      <c r="G146">
        <v>11243.03</v>
      </c>
      <c r="H146" t="s">
        <v>79</v>
      </c>
      <c r="I146" t="s">
        <v>58</v>
      </c>
      <c r="J146">
        <v>15</v>
      </c>
      <c r="K146" t="s">
        <v>89</v>
      </c>
    </row>
    <row r="147" spans="1:11" x14ac:dyDescent="0.3">
      <c r="A147" t="s">
        <v>235</v>
      </c>
      <c r="B147" t="s">
        <v>45</v>
      </c>
      <c r="C147" s="7">
        <v>45960</v>
      </c>
      <c r="D147" s="7">
        <v>45973</v>
      </c>
      <c r="E147">
        <v>13</v>
      </c>
      <c r="F147">
        <v>415977.48351840721</v>
      </c>
      <c r="G147">
        <v>4474.12</v>
      </c>
      <c r="H147" t="s">
        <v>79</v>
      </c>
      <c r="I147" t="s">
        <v>69</v>
      </c>
      <c r="J147">
        <v>25</v>
      </c>
      <c r="K147" t="s">
        <v>70</v>
      </c>
    </row>
    <row r="148" spans="1:11" x14ac:dyDescent="0.3">
      <c r="A148" t="s">
        <v>236</v>
      </c>
      <c r="B148" t="s">
        <v>39</v>
      </c>
      <c r="C148" s="7">
        <v>45918</v>
      </c>
      <c r="D148" s="7">
        <v>45931</v>
      </c>
      <c r="E148">
        <v>13</v>
      </c>
      <c r="F148">
        <v>413177.74255856255</v>
      </c>
      <c r="G148">
        <v>13787.02</v>
      </c>
      <c r="H148" t="s">
        <v>79</v>
      </c>
      <c r="I148" t="s">
        <v>62</v>
      </c>
      <c r="J148">
        <v>22</v>
      </c>
      <c r="K148" t="s">
        <v>70</v>
      </c>
    </row>
    <row r="149" spans="1:11" x14ac:dyDescent="0.3">
      <c r="A149" t="s">
        <v>237</v>
      </c>
      <c r="B149" t="s">
        <v>50</v>
      </c>
      <c r="C149" s="7">
        <v>46001</v>
      </c>
      <c r="D149" s="7">
        <v>46010</v>
      </c>
      <c r="E149">
        <v>9</v>
      </c>
      <c r="F149">
        <v>374595.55911805364</v>
      </c>
      <c r="G149">
        <v>11642.64</v>
      </c>
      <c r="H149" t="s">
        <v>65</v>
      </c>
      <c r="I149" t="s">
        <v>73</v>
      </c>
      <c r="J149">
        <v>47</v>
      </c>
      <c r="K149" t="s">
        <v>77</v>
      </c>
    </row>
    <row r="150" spans="1:11" x14ac:dyDescent="0.3">
      <c r="A150" t="s">
        <v>238</v>
      </c>
      <c r="B150" t="s">
        <v>46</v>
      </c>
      <c r="C150" s="7">
        <v>45800</v>
      </c>
      <c r="D150" s="7">
        <v>45805</v>
      </c>
      <c r="E150">
        <v>5</v>
      </c>
      <c r="F150">
        <v>211522.0809061219</v>
      </c>
      <c r="G150">
        <v>4392.8</v>
      </c>
      <c r="H150" t="s">
        <v>76</v>
      </c>
      <c r="I150" t="s">
        <v>83</v>
      </c>
      <c r="J150">
        <v>2</v>
      </c>
      <c r="K150" t="s">
        <v>77</v>
      </c>
    </row>
    <row r="151" spans="1:11" x14ac:dyDescent="0.3">
      <c r="A151" t="s">
        <v>239</v>
      </c>
      <c r="B151" t="s">
        <v>38</v>
      </c>
      <c r="C151" s="7">
        <v>45809</v>
      </c>
      <c r="D151" s="7">
        <v>45818</v>
      </c>
      <c r="E151">
        <v>9</v>
      </c>
      <c r="F151">
        <v>609066.8778556427</v>
      </c>
      <c r="G151">
        <v>10679.51</v>
      </c>
      <c r="H151" t="s">
        <v>57</v>
      </c>
      <c r="I151" t="s">
        <v>83</v>
      </c>
      <c r="J151">
        <v>55</v>
      </c>
      <c r="K151" t="s">
        <v>77</v>
      </c>
    </row>
    <row r="152" spans="1:11" x14ac:dyDescent="0.3">
      <c r="A152" t="s">
        <v>240</v>
      </c>
      <c r="B152" t="s">
        <v>48</v>
      </c>
      <c r="C152" s="7">
        <v>45807</v>
      </c>
      <c r="D152" s="7">
        <v>45821</v>
      </c>
      <c r="E152">
        <v>14</v>
      </c>
      <c r="F152">
        <v>948212.17791453807</v>
      </c>
      <c r="G152">
        <v>11586.52</v>
      </c>
      <c r="H152" t="s">
        <v>65</v>
      </c>
      <c r="I152" t="s">
        <v>62</v>
      </c>
      <c r="J152">
        <v>17</v>
      </c>
      <c r="K152" t="s">
        <v>66</v>
      </c>
    </row>
    <row r="153" spans="1:11" x14ac:dyDescent="0.3">
      <c r="A153" t="s">
        <v>241</v>
      </c>
      <c r="B153" t="s">
        <v>42</v>
      </c>
      <c r="C153" s="7">
        <v>45701</v>
      </c>
      <c r="D153" s="7">
        <v>45706</v>
      </c>
      <c r="E153">
        <v>5</v>
      </c>
      <c r="F153">
        <v>948887.34230662393</v>
      </c>
      <c r="G153">
        <v>4021.93</v>
      </c>
      <c r="H153" t="s">
        <v>79</v>
      </c>
      <c r="I153" t="s">
        <v>62</v>
      </c>
      <c r="J153">
        <v>12</v>
      </c>
      <c r="K153" t="s">
        <v>89</v>
      </c>
    </row>
    <row r="154" spans="1:11" x14ac:dyDescent="0.3">
      <c r="A154" t="s">
        <v>242</v>
      </c>
      <c r="B154" t="s">
        <v>45</v>
      </c>
      <c r="C154" s="7">
        <v>45804</v>
      </c>
      <c r="D154" s="7">
        <v>45806</v>
      </c>
      <c r="E154">
        <v>2</v>
      </c>
      <c r="F154">
        <v>616093.54170291149</v>
      </c>
      <c r="G154">
        <v>1804.77</v>
      </c>
      <c r="H154" t="s">
        <v>91</v>
      </c>
      <c r="I154" t="s">
        <v>69</v>
      </c>
      <c r="J154">
        <v>14</v>
      </c>
      <c r="K154" t="s">
        <v>77</v>
      </c>
    </row>
    <row r="155" spans="1:11" x14ac:dyDescent="0.3">
      <c r="A155" t="s">
        <v>243</v>
      </c>
      <c r="B155" t="s">
        <v>53</v>
      </c>
      <c r="C155" s="7">
        <v>45792</v>
      </c>
      <c r="D155" s="7">
        <v>45793</v>
      </c>
      <c r="E155">
        <v>1</v>
      </c>
      <c r="F155">
        <v>36277.859438168569</v>
      </c>
      <c r="G155">
        <v>1242.0999999999999</v>
      </c>
      <c r="H155" t="s">
        <v>65</v>
      </c>
      <c r="I155" t="s">
        <v>62</v>
      </c>
      <c r="J155">
        <v>50</v>
      </c>
      <c r="K155" t="s">
        <v>89</v>
      </c>
    </row>
    <row r="156" spans="1:11" x14ac:dyDescent="0.3">
      <c r="A156" t="s">
        <v>244</v>
      </c>
      <c r="B156" t="s">
        <v>38</v>
      </c>
      <c r="C156" s="7">
        <v>45709</v>
      </c>
      <c r="D156" s="7">
        <v>45714</v>
      </c>
      <c r="E156">
        <v>5</v>
      </c>
      <c r="F156">
        <v>510829.50608221866</v>
      </c>
      <c r="G156">
        <v>14421.7</v>
      </c>
      <c r="H156" t="s">
        <v>57</v>
      </c>
      <c r="I156" t="s">
        <v>69</v>
      </c>
      <c r="J156">
        <v>49</v>
      </c>
      <c r="K156" t="s">
        <v>70</v>
      </c>
    </row>
    <row r="157" spans="1:11" x14ac:dyDescent="0.3">
      <c r="A157" t="s">
        <v>245</v>
      </c>
      <c r="B157" t="s">
        <v>40</v>
      </c>
      <c r="C157" s="7">
        <v>45930</v>
      </c>
      <c r="D157" s="7">
        <v>45940</v>
      </c>
      <c r="E157">
        <v>10</v>
      </c>
      <c r="F157">
        <v>184542.81667034118</v>
      </c>
      <c r="G157">
        <v>10499.06</v>
      </c>
      <c r="H157" t="s">
        <v>57</v>
      </c>
      <c r="I157" t="s">
        <v>62</v>
      </c>
      <c r="J157">
        <v>32</v>
      </c>
      <c r="K157" t="s">
        <v>59</v>
      </c>
    </row>
    <row r="158" spans="1:11" x14ac:dyDescent="0.3">
      <c r="A158" t="s">
        <v>246</v>
      </c>
      <c r="B158" t="s">
        <v>49</v>
      </c>
      <c r="C158" s="7">
        <v>45423</v>
      </c>
      <c r="D158" s="7">
        <v>45426</v>
      </c>
      <c r="E158">
        <v>3</v>
      </c>
      <c r="F158">
        <v>27260.635661645309</v>
      </c>
      <c r="G158">
        <v>14946.48</v>
      </c>
      <c r="H158" t="s">
        <v>76</v>
      </c>
      <c r="I158" t="s">
        <v>69</v>
      </c>
      <c r="J158">
        <v>25</v>
      </c>
      <c r="K158" t="s">
        <v>59</v>
      </c>
    </row>
    <row r="159" spans="1:11" x14ac:dyDescent="0.3">
      <c r="A159" t="s">
        <v>247</v>
      </c>
      <c r="B159" t="s">
        <v>45</v>
      </c>
      <c r="C159" s="7">
        <v>46022</v>
      </c>
      <c r="D159" s="7">
        <v>46022</v>
      </c>
      <c r="E159">
        <v>0</v>
      </c>
      <c r="F159">
        <v>38349.718560449255</v>
      </c>
      <c r="G159">
        <v>1029.6099999999999</v>
      </c>
      <c r="H159" t="s">
        <v>79</v>
      </c>
      <c r="I159" t="s">
        <v>83</v>
      </c>
      <c r="J159">
        <v>26</v>
      </c>
      <c r="K159" t="s">
        <v>59</v>
      </c>
    </row>
    <row r="160" spans="1:11" x14ac:dyDescent="0.3">
      <c r="A160" t="s">
        <v>248</v>
      </c>
      <c r="B160" t="s">
        <v>53</v>
      </c>
      <c r="C160" s="7">
        <v>45468</v>
      </c>
      <c r="D160" s="7">
        <v>45475</v>
      </c>
      <c r="E160">
        <v>7</v>
      </c>
      <c r="F160">
        <v>624020.84817292541</v>
      </c>
      <c r="G160">
        <v>7174.05</v>
      </c>
      <c r="H160" t="s">
        <v>91</v>
      </c>
      <c r="I160" t="s">
        <v>83</v>
      </c>
      <c r="J160">
        <v>16</v>
      </c>
      <c r="K160" t="s">
        <v>66</v>
      </c>
    </row>
    <row r="161" spans="1:11" x14ac:dyDescent="0.3">
      <c r="A161" t="s">
        <v>249</v>
      </c>
      <c r="B161" t="s">
        <v>40</v>
      </c>
      <c r="C161" s="7">
        <v>45912</v>
      </c>
      <c r="D161" s="7">
        <v>45925</v>
      </c>
      <c r="E161">
        <v>13</v>
      </c>
      <c r="F161">
        <v>756830.06663085578</v>
      </c>
      <c r="G161">
        <v>6951.53</v>
      </c>
      <c r="H161" t="s">
        <v>76</v>
      </c>
      <c r="I161" t="s">
        <v>58</v>
      </c>
      <c r="J161">
        <v>5</v>
      </c>
      <c r="K161" t="s">
        <v>59</v>
      </c>
    </row>
    <row r="162" spans="1:11" x14ac:dyDescent="0.3">
      <c r="A162" t="s">
        <v>250</v>
      </c>
      <c r="B162" t="s">
        <v>43</v>
      </c>
      <c r="C162" s="7">
        <v>45453</v>
      </c>
      <c r="D162" s="7">
        <v>45462</v>
      </c>
      <c r="E162">
        <v>9</v>
      </c>
      <c r="F162">
        <v>167872.67120026797</v>
      </c>
      <c r="G162">
        <v>1135.68</v>
      </c>
      <c r="H162" t="s">
        <v>61</v>
      </c>
      <c r="I162" t="s">
        <v>73</v>
      </c>
      <c r="J162">
        <v>49</v>
      </c>
      <c r="K162" t="s">
        <v>89</v>
      </c>
    </row>
    <row r="163" spans="1:11" x14ac:dyDescent="0.3">
      <c r="A163" t="s">
        <v>251</v>
      </c>
      <c r="B163" t="s">
        <v>49</v>
      </c>
      <c r="C163" s="7">
        <v>45629</v>
      </c>
      <c r="D163" s="7">
        <v>45636</v>
      </c>
      <c r="E163">
        <v>7</v>
      </c>
      <c r="F163">
        <v>234528.48223268564</v>
      </c>
      <c r="G163">
        <v>8813.39</v>
      </c>
      <c r="H163" t="s">
        <v>76</v>
      </c>
      <c r="I163" t="s">
        <v>83</v>
      </c>
      <c r="J163">
        <v>51</v>
      </c>
      <c r="K163" t="s">
        <v>77</v>
      </c>
    </row>
    <row r="164" spans="1:11" x14ac:dyDescent="0.3">
      <c r="A164" t="s">
        <v>252</v>
      </c>
      <c r="B164" t="s">
        <v>50</v>
      </c>
      <c r="C164" s="7">
        <v>45850</v>
      </c>
      <c r="D164" s="7">
        <v>45851</v>
      </c>
      <c r="E164">
        <v>1</v>
      </c>
      <c r="F164">
        <v>9205.2281603966785</v>
      </c>
      <c r="G164">
        <v>2855.31</v>
      </c>
      <c r="H164" t="s">
        <v>57</v>
      </c>
      <c r="I164" t="s">
        <v>58</v>
      </c>
      <c r="J164">
        <v>57</v>
      </c>
      <c r="K164" t="s">
        <v>70</v>
      </c>
    </row>
    <row r="165" spans="1:11" x14ac:dyDescent="0.3">
      <c r="A165" t="s">
        <v>253</v>
      </c>
      <c r="B165" t="s">
        <v>49</v>
      </c>
      <c r="C165" s="7">
        <v>45656</v>
      </c>
      <c r="D165" s="7">
        <v>45659</v>
      </c>
      <c r="E165">
        <v>3</v>
      </c>
      <c r="F165">
        <v>139044.48547308351</v>
      </c>
      <c r="G165">
        <v>4210.0600000000004</v>
      </c>
      <c r="H165" t="s">
        <v>68</v>
      </c>
      <c r="I165" t="s">
        <v>69</v>
      </c>
      <c r="J165">
        <v>16</v>
      </c>
      <c r="K165" t="s">
        <v>66</v>
      </c>
    </row>
    <row r="166" spans="1:11" x14ac:dyDescent="0.3">
      <c r="A166" t="s">
        <v>254</v>
      </c>
      <c r="B166" t="s">
        <v>47</v>
      </c>
      <c r="C166" s="7">
        <v>45885</v>
      </c>
      <c r="D166" s="7">
        <v>45894</v>
      </c>
      <c r="E166">
        <v>9</v>
      </c>
      <c r="F166">
        <v>905530.73672565387</v>
      </c>
      <c r="G166">
        <v>9482.44</v>
      </c>
      <c r="H166" t="s">
        <v>79</v>
      </c>
      <c r="I166" t="s">
        <v>62</v>
      </c>
      <c r="J166">
        <v>23</v>
      </c>
      <c r="K166" t="s">
        <v>89</v>
      </c>
    </row>
    <row r="167" spans="1:11" x14ac:dyDescent="0.3">
      <c r="A167" t="s">
        <v>255</v>
      </c>
      <c r="B167" t="s">
        <v>46</v>
      </c>
      <c r="C167" s="7">
        <v>45509</v>
      </c>
      <c r="D167" s="7">
        <v>45517</v>
      </c>
      <c r="E167">
        <v>8</v>
      </c>
      <c r="F167">
        <v>930687.12061779725</v>
      </c>
      <c r="G167">
        <v>9360.0300000000007</v>
      </c>
      <c r="H167" t="s">
        <v>79</v>
      </c>
      <c r="I167" t="s">
        <v>58</v>
      </c>
      <c r="J167">
        <v>33</v>
      </c>
      <c r="K167" t="s">
        <v>66</v>
      </c>
    </row>
    <row r="168" spans="1:11" x14ac:dyDescent="0.3">
      <c r="A168" t="s">
        <v>256</v>
      </c>
      <c r="B168" t="s">
        <v>50</v>
      </c>
      <c r="C168" s="7">
        <v>45831</v>
      </c>
      <c r="D168" s="7">
        <v>45835</v>
      </c>
      <c r="E168">
        <v>4</v>
      </c>
      <c r="F168">
        <v>53567.276105122131</v>
      </c>
      <c r="G168">
        <v>1867.65</v>
      </c>
      <c r="H168" t="s">
        <v>76</v>
      </c>
      <c r="I168" t="s">
        <v>69</v>
      </c>
      <c r="J168">
        <v>32</v>
      </c>
      <c r="K168" t="s">
        <v>66</v>
      </c>
    </row>
    <row r="169" spans="1:11" x14ac:dyDescent="0.3">
      <c r="A169" t="s">
        <v>257</v>
      </c>
      <c r="B169" t="s">
        <v>48</v>
      </c>
      <c r="C169" s="7">
        <v>45953</v>
      </c>
      <c r="D169" s="7">
        <v>45958</v>
      </c>
      <c r="E169">
        <v>5</v>
      </c>
      <c r="F169">
        <v>273858.23715906963</v>
      </c>
      <c r="G169">
        <v>6633.14</v>
      </c>
      <c r="H169" t="s">
        <v>61</v>
      </c>
      <c r="I169" t="s">
        <v>58</v>
      </c>
      <c r="J169">
        <v>52</v>
      </c>
      <c r="K169" t="s">
        <v>89</v>
      </c>
    </row>
    <row r="170" spans="1:11" x14ac:dyDescent="0.3">
      <c r="A170" t="s">
        <v>258</v>
      </c>
      <c r="B170" t="s">
        <v>47</v>
      </c>
      <c r="C170" s="7">
        <v>46005</v>
      </c>
      <c r="D170" s="7">
        <v>46008</v>
      </c>
      <c r="E170">
        <v>3</v>
      </c>
      <c r="F170">
        <v>712571.54812724993</v>
      </c>
      <c r="G170">
        <v>13495.92</v>
      </c>
      <c r="H170" t="s">
        <v>76</v>
      </c>
      <c r="I170" t="s">
        <v>83</v>
      </c>
      <c r="J170">
        <v>21</v>
      </c>
      <c r="K170" t="s">
        <v>66</v>
      </c>
    </row>
    <row r="171" spans="1:11" x14ac:dyDescent="0.3">
      <c r="A171" t="s">
        <v>259</v>
      </c>
      <c r="B171" t="s">
        <v>41</v>
      </c>
      <c r="C171" s="7">
        <v>45844</v>
      </c>
      <c r="D171" s="7">
        <v>45850</v>
      </c>
      <c r="E171">
        <v>6</v>
      </c>
      <c r="F171">
        <v>849570.85077576444</v>
      </c>
      <c r="G171">
        <v>1288.24</v>
      </c>
      <c r="H171" t="s">
        <v>91</v>
      </c>
      <c r="I171" t="s">
        <v>69</v>
      </c>
      <c r="J171">
        <v>4</v>
      </c>
      <c r="K171" t="s">
        <v>89</v>
      </c>
    </row>
    <row r="172" spans="1:11" x14ac:dyDescent="0.3">
      <c r="A172" t="s">
        <v>260</v>
      </c>
      <c r="B172" t="s">
        <v>41</v>
      </c>
      <c r="C172" s="7">
        <v>45762</v>
      </c>
      <c r="D172" s="7">
        <v>45768</v>
      </c>
      <c r="E172">
        <v>6</v>
      </c>
      <c r="F172">
        <v>357818.07330718782</v>
      </c>
      <c r="G172">
        <v>6974.55</v>
      </c>
      <c r="H172" t="s">
        <v>76</v>
      </c>
      <c r="I172" t="s">
        <v>62</v>
      </c>
      <c r="J172">
        <v>18</v>
      </c>
      <c r="K172" t="s">
        <v>66</v>
      </c>
    </row>
    <row r="173" spans="1:11" x14ac:dyDescent="0.3">
      <c r="A173" t="s">
        <v>261</v>
      </c>
      <c r="B173" t="s">
        <v>40</v>
      </c>
      <c r="C173" s="7">
        <v>45896</v>
      </c>
      <c r="D173" s="7">
        <v>45896</v>
      </c>
      <c r="E173">
        <v>0</v>
      </c>
      <c r="F173">
        <v>269623.05732235365</v>
      </c>
      <c r="G173">
        <v>1844.42</v>
      </c>
      <c r="H173" t="s">
        <v>68</v>
      </c>
      <c r="I173" t="s">
        <v>69</v>
      </c>
      <c r="J173">
        <v>27</v>
      </c>
      <c r="K173" t="s">
        <v>66</v>
      </c>
    </row>
    <row r="174" spans="1:11" x14ac:dyDescent="0.3">
      <c r="A174" t="s">
        <v>262</v>
      </c>
      <c r="B174" t="s">
        <v>41</v>
      </c>
      <c r="C174" s="7">
        <v>45592</v>
      </c>
      <c r="D174" s="7">
        <v>45604</v>
      </c>
      <c r="E174">
        <v>12</v>
      </c>
      <c r="F174">
        <v>757654.49126013857</v>
      </c>
      <c r="G174">
        <v>14300.85</v>
      </c>
      <c r="H174" t="s">
        <v>76</v>
      </c>
      <c r="I174" t="s">
        <v>58</v>
      </c>
      <c r="J174">
        <v>36</v>
      </c>
      <c r="K174" t="s">
        <v>66</v>
      </c>
    </row>
    <row r="175" spans="1:11" x14ac:dyDescent="0.3">
      <c r="A175" t="s">
        <v>263</v>
      </c>
      <c r="B175" t="s">
        <v>44</v>
      </c>
      <c r="C175" s="7">
        <v>45772</v>
      </c>
      <c r="D175" s="7">
        <v>45781</v>
      </c>
      <c r="E175">
        <v>9</v>
      </c>
      <c r="F175">
        <v>452776.80106184632</v>
      </c>
      <c r="G175">
        <v>7048.89</v>
      </c>
      <c r="H175" t="s">
        <v>57</v>
      </c>
      <c r="I175" t="s">
        <v>69</v>
      </c>
      <c r="J175">
        <v>48</v>
      </c>
      <c r="K175" t="s">
        <v>66</v>
      </c>
    </row>
    <row r="176" spans="1:11" x14ac:dyDescent="0.3">
      <c r="A176" t="s">
        <v>264</v>
      </c>
      <c r="B176" t="s">
        <v>43</v>
      </c>
      <c r="C176" s="7">
        <v>45719</v>
      </c>
      <c r="D176" s="7">
        <v>45733</v>
      </c>
      <c r="E176">
        <v>14</v>
      </c>
      <c r="F176">
        <v>883863.23148424283</v>
      </c>
      <c r="G176">
        <v>14204.53</v>
      </c>
      <c r="H176" t="s">
        <v>91</v>
      </c>
      <c r="I176" t="s">
        <v>83</v>
      </c>
      <c r="J176">
        <v>27</v>
      </c>
      <c r="K176" t="s">
        <v>59</v>
      </c>
    </row>
    <row r="177" spans="1:11" x14ac:dyDescent="0.3">
      <c r="A177" t="s">
        <v>266</v>
      </c>
      <c r="B177" t="s">
        <v>39</v>
      </c>
      <c r="C177" s="7">
        <v>45572</v>
      </c>
      <c r="D177" s="7">
        <v>45583</v>
      </c>
      <c r="E177">
        <v>11</v>
      </c>
      <c r="F177">
        <v>698042.49312351889</v>
      </c>
      <c r="G177">
        <v>14259.02</v>
      </c>
      <c r="H177" t="s">
        <v>76</v>
      </c>
      <c r="I177" t="s">
        <v>62</v>
      </c>
      <c r="J177">
        <v>19</v>
      </c>
      <c r="K177" t="s">
        <v>66</v>
      </c>
    </row>
    <row r="178" spans="1:11" x14ac:dyDescent="0.3">
      <c r="A178" t="s">
        <v>267</v>
      </c>
      <c r="B178" t="s">
        <v>38</v>
      </c>
      <c r="C178" s="7">
        <v>45838</v>
      </c>
      <c r="D178" s="7">
        <v>45840</v>
      </c>
      <c r="E178">
        <v>2</v>
      </c>
      <c r="F178">
        <v>670997.80844334967</v>
      </c>
      <c r="G178">
        <v>12897.25</v>
      </c>
      <c r="H178" t="s">
        <v>65</v>
      </c>
      <c r="I178" t="s">
        <v>58</v>
      </c>
      <c r="J178">
        <v>2</v>
      </c>
      <c r="K178" t="s">
        <v>89</v>
      </c>
    </row>
    <row r="179" spans="1:11" x14ac:dyDescent="0.3">
      <c r="A179" t="s">
        <v>269</v>
      </c>
      <c r="B179" t="s">
        <v>43</v>
      </c>
      <c r="C179" s="7">
        <v>45516</v>
      </c>
      <c r="D179" s="7">
        <v>45526</v>
      </c>
      <c r="E179">
        <v>10</v>
      </c>
      <c r="F179">
        <v>457528.99295421422</v>
      </c>
      <c r="G179">
        <v>14099.39</v>
      </c>
      <c r="H179" t="s">
        <v>91</v>
      </c>
      <c r="I179" t="s">
        <v>73</v>
      </c>
      <c r="J179">
        <v>49</v>
      </c>
      <c r="K179" t="s">
        <v>66</v>
      </c>
    </row>
    <row r="180" spans="1:11" x14ac:dyDescent="0.3">
      <c r="A180" t="s">
        <v>270</v>
      </c>
      <c r="B180" t="s">
        <v>53</v>
      </c>
      <c r="C180" s="7">
        <v>45589</v>
      </c>
      <c r="D180" s="7">
        <v>45595</v>
      </c>
      <c r="E180">
        <v>6</v>
      </c>
      <c r="F180">
        <v>855819.45593977347</v>
      </c>
      <c r="G180">
        <v>4467.92</v>
      </c>
      <c r="H180" t="s">
        <v>57</v>
      </c>
      <c r="I180" t="s">
        <v>83</v>
      </c>
      <c r="J180">
        <v>11</v>
      </c>
      <c r="K180" t="s">
        <v>70</v>
      </c>
    </row>
    <row r="181" spans="1:11" x14ac:dyDescent="0.3">
      <c r="A181" t="s">
        <v>271</v>
      </c>
      <c r="B181" t="s">
        <v>49</v>
      </c>
      <c r="C181" s="7">
        <v>45521</v>
      </c>
      <c r="D181" s="7">
        <v>45534</v>
      </c>
      <c r="E181">
        <v>13</v>
      </c>
      <c r="F181">
        <v>197127.04254089523</v>
      </c>
      <c r="G181">
        <v>14291.15</v>
      </c>
      <c r="H181" t="s">
        <v>57</v>
      </c>
      <c r="I181" t="s">
        <v>62</v>
      </c>
      <c r="J181">
        <v>27</v>
      </c>
      <c r="K181" t="s">
        <v>77</v>
      </c>
    </row>
    <row r="182" spans="1:11" x14ac:dyDescent="0.3">
      <c r="A182" t="s">
        <v>272</v>
      </c>
      <c r="B182" t="s">
        <v>45</v>
      </c>
      <c r="C182" s="7">
        <v>45911</v>
      </c>
      <c r="D182" s="7">
        <v>45922</v>
      </c>
      <c r="E182">
        <v>11</v>
      </c>
      <c r="F182">
        <v>615335.17266796273</v>
      </c>
      <c r="G182">
        <v>4514.45</v>
      </c>
      <c r="H182" t="s">
        <v>57</v>
      </c>
      <c r="I182" t="s">
        <v>83</v>
      </c>
      <c r="J182">
        <v>56</v>
      </c>
      <c r="K182" t="s">
        <v>66</v>
      </c>
    </row>
    <row r="183" spans="1:11" x14ac:dyDescent="0.3">
      <c r="A183" t="s">
        <v>274</v>
      </c>
      <c r="B183" t="s">
        <v>45</v>
      </c>
      <c r="C183" s="7">
        <v>45566</v>
      </c>
      <c r="D183" s="7">
        <v>45580</v>
      </c>
      <c r="E183">
        <v>14</v>
      </c>
      <c r="F183">
        <v>752700.9568350414</v>
      </c>
      <c r="G183">
        <v>2741.71</v>
      </c>
      <c r="H183" t="s">
        <v>61</v>
      </c>
      <c r="I183" t="s">
        <v>73</v>
      </c>
      <c r="J183">
        <v>31</v>
      </c>
      <c r="K183" t="s">
        <v>70</v>
      </c>
    </row>
    <row r="184" spans="1:11" x14ac:dyDescent="0.3">
      <c r="A184" t="s">
        <v>275</v>
      </c>
      <c r="B184" t="s">
        <v>50</v>
      </c>
      <c r="C184" s="7">
        <v>45657</v>
      </c>
      <c r="D184" s="7">
        <v>45661</v>
      </c>
      <c r="E184">
        <v>4</v>
      </c>
      <c r="F184">
        <v>436100.30409231794</v>
      </c>
      <c r="G184">
        <v>2662.17</v>
      </c>
      <c r="H184" t="s">
        <v>76</v>
      </c>
      <c r="I184" t="s">
        <v>58</v>
      </c>
      <c r="J184">
        <v>19</v>
      </c>
      <c r="K184" t="s">
        <v>66</v>
      </c>
    </row>
    <row r="185" spans="1:11" x14ac:dyDescent="0.3">
      <c r="A185" t="s">
        <v>276</v>
      </c>
      <c r="B185" t="s">
        <v>42</v>
      </c>
      <c r="C185" s="7">
        <v>45659</v>
      </c>
      <c r="D185" s="7">
        <v>45667</v>
      </c>
      <c r="E185">
        <v>8</v>
      </c>
      <c r="F185">
        <v>674634.67703138746</v>
      </c>
      <c r="G185">
        <v>10050.19</v>
      </c>
      <c r="H185" t="s">
        <v>61</v>
      </c>
      <c r="I185" t="s">
        <v>73</v>
      </c>
      <c r="J185">
        <v>24</v>
      </c>
      <c r="K185" t="s">
        <v>89</v>
      </c>
    </row>
    <row r="186" spans="1:11" x14ac:dyDescent="0.3">
      <c r="A186" t="s">
        <v>277</v>
      </c>
      <c r="B186" t="s">
        <v>46</v>
      </c>
      <c r="C186" s="7">
        <v>45441</v>
      </c>
      <c r="D186" s="7">
        <v>45447</v>
      </c>
      <c r="E186">
        <v>6</v>
      </c>
      <c r="F186">
        <v>887271.44609189394</v>
      </c>
      <c r="G186">
        <v>11574.07</v>
      </c>
      <c r="H186" t="s">
        <v>68</v>
      </c>
      <c r="I186" t="s">
        <v>62</v>
      </c>
      <c r="J186">
        <v>10</v>
      </c>
      <c r="K186" t="s">
        <v>59</v>
      </c>
    </row>
    <row r="187" spans="1:11" x14ac:dyDescent="0.3">
      <c r="A187" t="s">
        <v>279</v>
      </c>
      <c r="B187" t="s">
        <v>45</v>
      </c>
      <c r="C187" s="7">
        <v>45780</v>
      </c>
      <c r="D187" s="7">
        <v>45780</v>
      </c>
      <c r="E187">
        <v>0</v>
      </c>
      <c r="F187">
        <v>580645.18809358997</v>
      </c>
      <c r="G187">
        <v>3088.22</v>
      </c>
      <c r="H187" t="s">
        <v>91</v>
      </c>
      <c r="I187" t="s">
        <v>73</v>
      </c>
      <c r="J187">
        <v>51</v>
      </c>
      <c r="K187" t="s">
        <v>70</v>
      </c>
    </row>
    <row r="188" spans="1:11" x14ac:dyDescent="0.3">
      <c r="A188" t="s">
        <v>280</v>
      </c>
      <c r="B188" t="s">
        <v>38</v>
      </c>
      <c r="C188" s="7">
        <v>45796</v>
      </c>
      <c r="D188" s="7">
        <v>45806</v>
      </c>
      <c r="E188">
        <v>10</v>
      </c>
      <c r="F188">
        <v>640852.95687910588</v>
      </c>
      <c r="G188">
        <v>1493.18</v>
      </c>
      <c r="H188" t="s">
        <v>91</v>
      </c>
      <c r="I188" t="s">
        <v>69</v>
      </c>
      <c r="J188">
        <v>13</v>
      </c>
      <c r="K188" t="s">
        <v>89</v>
      </c>
    </row>
    <row r="189" spans="1:11" x14ac:dyDescent="0.3">
      <c r="A189" t="s">
        <v>281</v>
      </c>
      <c r="B189" t="s">
        <v>47</v>
      </c>
      <c r="C189" s="7">
        <v>45639</v>
      </c>
      <c r="D189" s="7">
        <v>45653</v>
      </c>
      <c r="E189">
        <v>14</v>
      </c>
      <c r="F189">
        <v>636303.37781935825</v>
      </c>
      <c r="G189">
        <v>6083.86</v>
      </c>
      <c r="H189" t="s">
        <v>65</v>
      </c>
      <c r="I189" t="s">
        <v>69</v>
      </c>
      <c r="J189">
        <v>24</v>
      </c>
      <c r="K189" t="s">
        <v>89</v>
      </c>
    </row>
    <row r="190" spans="1:11" x14ac:dyDescent="0.3">
      <c r="A190" t="s">
        <v>282</v>
      </c>
      <c r="B190" t="s">
        <v>38</v>
      </c>
      <c r="C190" s="7">
        <v>45783</v>
      </c>
      <c r="D190" s="7">
        <v>45787</v>
      </c>
      <c r="E190">
        <v>4</v>
      </c>
      <c r="F190">
        <v>931382.60980813974</v>
      </c>
      <c r="G190">
        <v>13139.67</v>
      </c>
      <c r="H190" t="s">
        <v>57</v>
      </c>
      <c r="I190" t="s">
        <v>73</v>
      </c>
      <c r="J190">
        <v>47</v>
      </c>
      <c r="K190" t="s">
        <v>89</v>
      </c>
    </row>
    <row r="191" spans="1:11" x14ac:dyDescent="0.3">
      <c r="A191" t="s">
        <v>283</v>
      </c>
      <c r="B191" t="s">
        <v>50</v>
      </c>
      <c r="C191" s="7">
        <v>45681</v>
      </c>
      <c r="D191" s="7">
        <v>45693</v>
      </c>
      <c r="E191">
        <v>12</v>
      </c>
      <c r="F191">
        <v>694448.17958183074</v>
      </c>
      <c r="G191">
        <v>13486.31</v>
      </c>
      <c r="H191" t="s">
        <v>65</v>
      </c>
      <c r="I191" t="s">
        <v>69</v>
      </c>
      <c r="J191">
        <v>9</v>
      </c>
      <c r="K191" t="s">
        <v>77</v>
      </c>
    </row>
    <row r="192" spans="1:11" x14ac:dyDescent="0.3">
      <c r="A192" t="s">
        <v>284</v>
      </c>
      <c r="B192" t="s">
        <v>40</v>
      </c>
      <c r="C192" s="7">
        <v>45878</v>
      </c>
      <c r="D192" s="7">
        <v>45891</v>
      </c>
      <c r="E192">
        <v>13</v>
      </c>
      <c r="F192">
        <v>501974.88069174811</v>
      </c>
      <c r="G192">
        <v>5164.17</v>
      </c>
      <c r="H192" t="s">
        <v>91</v>
      </c>
      <c r="I192" t="s">
        <v>69</v>
      </c>
      <c r="J192">
        <v>6</v>
      </c>
      <c r="K192" t="s">
        <v>59</v>
      </c>
    </row>
    <row r="193" spans="1:11" x14ac:dyDescent="0.3">
      <c r="A193" t="s">
        <v>285</v>
      </c>
      <c r="B193" t="s">
        <v>48</v>
      </c>
      <c r="C193" s="7">
        <v>45605</v>
      </c>
      <c r="D193" s="7">
        <v>45613</v>
      </c>
      <c r="E193">
        <v>8</v>
      </c>
      <c r="F193">
        <v>441981.15743787179</v>
      </c>
      <c r="G193">
        <v>8605.16</v>
      </c>
      <c r="H193" t="s">
        <v>76</v>
      </c>
      <c r="I193" t="s">
        <v>73</v>
      </c>
      <c r="J193">
        <v>12</v>
      </c>
      <c r="K193" t="s">
        <v>89</v>
      </c>
    </row>
    <row r="194" spans="1:11" x14ac:dyDescent="0.3">
      <c r="A194" t="s">
        <v>286</v>
      </c>
      <c r="B194" t="s">
        <v>46</v>
      </c>
      <c r="C194" s="7">
        <v>45815</v>
      </c>
      <c r="D194" s="7">
        <v>45828</v>
      </c>
      <c r="E194">
        <v>13</v>
      </c>
      <c r="F194">
        <v>558859.54496231233</v>
      </c>
      <c r="G194">
        <v>7512.69</v>
      </c>
      <c r="H194" t="s">
        <v>65</v>
      </c>
      <c r="I194" t="s">
        <v>69</v>
      </c>
      <c r="J194">
        <v>15</v>
      </c>
      <c r="K194" t="s">
        <v>59</v>
      </c>
    </row>
    <row r="195" spans="1:11" x14ac:dyDescent="0.3">
      <c r="A195" t="s">
        <v>287</v>
      </c>
      <c r="B195" t="s">
        <v>53</v>
      </c>
      <c r="C195" s="7">
        <v>45897</v>
      </c>
      <c r="D195" s="7">
        <v>45897</v>
      </c>
      <c r="E195">
        <v>0</v>
      </c>
      <c r="F195">
        <v>116508.7302561488</v>
      </c>
      <c r="G195">
        <v>4302.8100000000004</v>
      </c>
      <c r="H195" t="s">
        <v>57</v>
      </c>
      <c r="I195" t="s">
        <v>58</v>
      </c>
      <c r="J195">
        <v>48</v>
      </c>
      <c r="K195" t="s">
        <v>70</v>
      </c>
    </row>
    <row r="196" spans="1:11" x14ac:dyDescent="0.3">
      <c r="A196" t="s">
        <v>288</v>
      </c>
      <c r="B196" t="s">
        <v>47</v>
      </c>
      <c r="C196" s="7">
        <v>45765</v>
      </c>
      <c r="D196" s="7">
        <v>45775</v>
      </c>
      <c r="E196">
        <v>10</v>
      </c>
      <c r="F196">
        <v>654483.90985987394</v>
      </c>
      <c r="G196">
        <v>14619.03</v>
      </c>
      <c r="H196" t="s">
        <v>79</v>
      </c>
      <c r="I196" t="s">
        <v>83</v>
      </c>
      <c r="J196">
        <v>24</v>
      </c>
      <c r="K196" t="s">
        <v>77</v>
      </c>
    </row>
    <row r="197" spans="1:11" x14ac:dyDescent="0.3">
      <c r="A197" t="s">
        <v>289</v>
      </c>
      <c r="B197" t="s">
        <v>52</v>
      </c>
      <c r="C197" s="7">
        <v>46013</v>
      </c>
      <c r="D197" s="7">
        <v>46013</v>
      </c>
      <c r="E197">
        <v>0</v>
      </c>
      <c r="F197">
        <v>141940.13407470143</v>
      </c>
      <c r="G197">
        <v>7023.45</v>
      </c>
      <c r="H197" t="s">
        <v>65</v>
      </c>
      <c r="I197" t="s">
        <v>73</v>
      </c>
      <c r="J197">
        <v>23</v>
      </c>
      <c r="K197" t="s">
        <v>66</v>
      </c>
    </row>
    <row r="198" spans="1:11" x14ac:dyDescent="0.3">
      <c r="A198" t="s">
        <v>290</v>
      </c>
      <c r="B198" t="s">
        <v>50</v>
      </c>
      <c r="C198" s="7">
        <v>45698</v>
      </c>
      <c r="D198" s="7">
        <v>45707</v>
      </c>
      <c r="E198">
        <v>9</v>
      </c>
      <c r="F198">
        <v>717833.76542586891</v>
      </c>
      <c r="G198">
        <v>8246.94</v>
      </c>
      <c r="H198" t="s">
        <v>79</v>
      </c>
      <c r="I198" t="s">
        <v>62</v>
      </c>
      <c r="J198">
        <v>53</v>
      </c>
      <c r="K198" t="s">
        <v>70</v>
      </c>
    </row>
    <row r="199" spans="1:11" x14ac:dyDescent="0.3">
      <c r="A199" t="s">
        <v>291</v>
      </c>
      <c r="B199" t="s">
        <v>48</v>
      </c>
      <c r="C199" s="7">
        <v>46020</v>
      </c>
      <c r="D199" s="7">
        <v>46021</v>
      </c>
      <c r="E199">
        <v>1</v>
      </c>
      <c r="F199">
        <v>510633.879898999</v>
      </c>
      <c r="G199">
        <v>5404.11</v>
      </c>
      <c r="H199" t="s">
        <v>76</v>
      </c>
      <c r="I199" t="s">
        <v>83</v>
      </c>
      <c r="J199">
        <v>9</v>
      </c>
      <c r="K199" t="s">
        <v>77</v>
      </c>
    </row>
    <row r="200" spans="1:11" x14ac:dyDescent="0.3">
      <c r="A200" t="s">
        <v>292</v>
      </c>
      <c r="B200" t="s">
        <v>43</v>
      </c>
      <c r="C200" s="7">
        <v>45866</v>
      </c>
      <c r="D200" s="7">
        <v>45880</v>
      </c>
      <c r="E200">
        <v>14</v>
      </c>
      <c r="F200">
        <v>868013.69974377926</v>
      </c>
      <c r="G200">
        <v>1715.78</v>
      </c>
      <c r="H200" t="s">
        <v>76</v>
      </c>
      <c r="I200" t="s">
        <v>58</v>
      </c>
      <c r="J200">
        <v>15</v>
      </c>
      <c r="K200" t="s">
        <v>66</v>
      </c>
    </row>
    <row r="201" spans="1:11" x14ac:dyDescent="0.3">
      <c r="A201" t="s">
        <v>293</v>
      </c>
      <c r="B201" t="s">
        <v>44</v>
      </c>
      <c r="C201" s="7">
        <v>45626</v>
      </c>
      <c r="D201" s="7">
        <v>45639</v>
      </c>
      <c r="E201">
        <v>13</v>
      </c>
      <c r="F201">
        <v>127787.08783871721</v>
      </c>
      <c r="G201">
        <v>457.22</v>
      </c>
      <c r="H201" t="s">
        <v>61</v>
      </c>
      <c r="I201" t="s">
        <v>62</v>
      </c>
      <c r="J201">
        <v>45</v>
      </c>
      <c r="K201" t="s">
        <v>70</v>
      </c>
    </row>
    <row r="202" spans="1:11" x14ac:dyDescent="0.3">
      <c r="A202" t="s">
        <v>295</v>
      </c>
      <c r="B202" t="s">
        <v>38</v>
      </c>
      <c r="C202" s="7">
        <v>45970</v>
      </c>
      <c r="D202" s="7">
        <v>45970</v>
      </c>
      <c r="E202">
        <v>0</v>
      </c>
      <c r="F202">
        <v>189620.84048475997</v>
      </c>
      <c r="G202">
        <v>685.33</v>
      </c>
      <c r="H202" t="s">
        <v>65</v>
      </c>
      <c r="I202" t="s">
        <v>58</v>
      </c>
      <c r="J202">
        <v>38</v>
      </c>
      <c r="K202" t="s">
        <v>59</v>
      </c>
    </row>
    <row r="203" spans="1:11" x14ac:dyDescent="0.3">
      <c r="A203" t="s">
        <v>296</v>
      </c>
      <c r="B203" t="s">
        <v>39</v>
      </c>
      <c r="C203" s="7">
        <v>45481</v>
      </c>
      <c r="D203" s="7">
        <v>45485</v>
      </c>
      <c r="E203">
        <v>4</v>
      </c>
      <c r="F203">
        <v>637082.07165256364</v>
      </c>
      <c r="G203">
        <v>11367.34</v>
      </c>
      <c r="H203" t="s">
        <v>79</v>
      </c>
      <c r="I203" t="s">
        <v>83</v>
      </c>
      <c r="J203">
        <v>59</v>
      </c>
      <c r="K203" t="s">
        <v>77</v>
      </c>
    </row>
    <row r="204" spans="1:11" x14ac:dyDescent="0.3">
      <c r="A204" t="s">
        <v>297</v>
      </c>
      <c r="B204" t="s">
        <v>49</v>
      </c>
      <c r="C204" s="7">
        <v>45567</v>
      </c>
      <c r="D204" s="7">
        <v>45581</v>
      </c>
      <c r="E204">
        <v>14</v>
      </c>
      <c r="F204">
        <v>719152.97186271043</v>
      </c>
      <c r="G204">
        <v>264.07</v>
      </c>
      <c r="H204" t="s">
        <v>65</v>
      </c>
      <c r="I204" t="s">
        <v>83</v>
      </c>
      <c r="J204">
        <v>60</v>
      </c>
      <c r="K204" t="s">
        <v>66</v>
      </c>
    </row>
    <row r="205" spans="1:11" x14ac:dyDescent="0.3">
      <c r="A205" t="s">
        <v>298</v>
      </c>
      <c r="B205" t="s">
        <v>43</v>
      </c>
      <c r="C205" s="7">
        <v>45834</v>
      </c>
      <c r="D205" s="7">
        <v>45841</v>
      </c>
      <c r="E205">
        <v>7</v>
      </c>
      <c r="F205">
        <v>642721.5680188206</v>
      </c>
      <c r="G205">
        <v>1788.4</v>
      </c>
      <c r="H205" t="s">
        <v>79</v>
      </c>
      <c r="I205" t="s">
        <v>62</v>
      </c>
      <c r="J205">
        <v>25</v>
      </c>
      <c r="K205" t="s">
        <v>89</v>
      </c>
    </row>
    <row r="206" spans="1:11" x14ac:dyDescent="0.3">
      <c r="A206" t="s">
        <v>299</v>
      </c>
      <c r="B206" t="s">
        <v>46</v>
      </c>
      <c r="C206" s="7">
        <v>45511</v>
      </c>
      <c r="D206" s="7">
        <v>45523</v>
      </c>
      <c r="E206">
        <v>12</v>
      </c>
      <c r="F206">
        <v>938113.92893074255</v>
      </c>
      <c r="G206">
        <v>2029.51</v>
      </c>
      <c r="H206" t="s">
        <v>57</v>
      </c>
      <c r="I206" t="s">
        <v>58</v>
      </c>
      <c r="J206">
        <v>9</v>
      </c>
      <c r="K206" t="s">
        <v>89</v>
      </c>
    </row>
    <row r="207" spans="1:11" x14ac:dyDescent="0.3">
      <c r="A207" t="s">
        <v>300</v>
      </c>
      <c r="B207" t="s">
        <v>49</v>
      </c>
      <c r="C207" s="7">
        <v>45471</v>
      </c>
      <c r="D207" s="7">
        <v>45472</v>
      </c>
      <c r="E207">
        <v>1</v>
      </c>
      <c r="F207">
        <v>314737.7579525183</v>
      </c>
      <c r="G207">
        <v>1912.69</v>
      </c>
      <c r="H207" t="s">
        <v>61</v>
      </c>
      <c r="I207" t="s">
        <v>69</v>
      </c>
      <c r="J207">
        <v>39</v>
      </c>
      <c r="K207" t="s">
        <v>70</v>
      </c>
    </row>
    <row r="208" spans="1:11" x14ac:dyDescent="0.3">
      <c r="A208" t="s">
        <v>301</v>
      </c>
      <c r="B208" t="s">
        <v>41</v>
      </c>
      <c r="C208" s="7">
        <v>45846</v>
      </c>
      <c r="D208" s="7">
        <v>45859</v>
      </c>
      <c r="E208">
        <v>13</v>
      </c>
      <c r="F208">
        <v>409546.59032003448</v>
      </c>
      <c r="G208">
        <v>12880.25</v>
      </c>
      <c r="H208" t="s">
        <v>79</v>
      </c>
      <c r="I208" t="s">
        <v>69</v>
      </c>
      <c r="J208">
        <v>44</v>
      </c>
      <c r="K208" t="s">
        <v>70</v>
      </c>
    </row>
    <row r="209" spans="1:11" x14ac:dyDescent="0.3">
      <c r="A209" t="s">
        <v>302</v>
      </c>
      <c r="B209" t="s">
        <v>44</v>
      </c>
      <c r="C209" s="7">
        <v>45749</v>
      </c>
      <c r="D209" s="7">
        <v>45760</v>
      </c>
      <c r="E209">
        <v>11</v>
      </c>
      <c r="F209">
        <v>881784.38571256143</v>
      </c>
      <c r="G209">
        <v>14672.23</v>
      </c>
      <c r="H209" t="s">
        <v>57</v>
      </c>
      <c r="I209" t="s">
        <v>62</v>
      </c>
      <c r="J209">
        <v>13</v>
      </c>
      <c r="K209" t="s">
        <v>70</v>
      </c>
    </row>
    <row r="210" spans="1:11" x14ac:dyDescent="0.3">
      <c r="A210" t="s">
        <v>303</v>
      </c>
      <c r="B210" t="s">
        <v>47</v>
      </c>
      <c r="C210" s="7">
        <v>45715</v>
      </c>
      <c r="D210" s="7">
        <v>45728</v>
      </c>
      <c r="E210">
        <v>13</v>
      </c>
      <c r="F210">
        <v>406453.41008536034</v>
      </c>
      <c r="G210">
        <v>7586.83</v>
      </c>
      <c r="H210" t="s">
        <v>79</v>
      </c>
      <c r="I210" t="s">
        <v>58</v>
      </c>
      <c r="J210">
        <v>38</v>
      </c>
      <c r="K210" t="s">
        <v>70</v>
      </c>
    </row>
    <row r="211" spans="1:11" x14ac:dyDescent="0.3">
      <c r="A211" t="s">
        <v>304</v>
      </c>
      <c r="B211" t="s">
        <v>44</v>
      </c>
      <c r="C211" s="7">
        <v>45921</v>
      </c>
      <c r="D211" s="7">
        <v>45923</v>
      </c>
      <c r="E211">
        <v>2</v>
      </c>
      <c r="F211">
        <v>290654.14231835544</v>
      </c>
      <c r="G211">
        <v>9423.84</v>
      </c>
      <c r="H211" t="s">
        <v>79</v>
      </c>
      <c r="I211" t="s">
        <v>83</v>
      </c>
      <c r="J211">
        <v>43</v>
      </c>
      <c r="K211" t="s">
        <v>77</v>
      </c>
    </row>
    <row r="212" spans="1:11" x14ac:dyDescent="0.3">
      <c r="A212" t="s">
        <v>305</v>
      </c>
      <c r="B212" t="s">
        <v>50</v>
      </c>
      <c r="C212" s="7">
        <v>45811</v>
      </c>
      <c r="D212" s="7">
        <v>45821</v>
      </c>
      <c r="E212">
        <v>10</v>
      </c>
      <c r="F212">
        <v>475955.32802364556</v>
      </c>
      <c r="G212">
        <v>7670.96</v>
      </c>
      <c r="H212" t="s">
        <v>91</v>
      </c>
      <c r="I212" t="s">
        <v>62</v>
      </c>
      <c r="J212">
        <v>52</v>
      </c>
      <c r="K212" t="s">
        <v>77</v>
      </c>
    </row>
    <row r="213" spans="1:11" x14ac:dyDescent="0.3">
      <c r="A213" t="s">
        <v>306</v>
      </c>
      <c r="B213" t="s">
        <v>50</v>
      </c>
      <c r="C213" s="7">
        <v>45426</v>
      </c>
      <c r="D213" s="7">
        <v>45432</v>
      </c>
      <c r="E213">
        <v>6</v>
      </c>
      <c r="F213">
        <v>430582.75651560043</v>
      </c>
      <c r="G213">
        <v>12822.54</v>
      </c>
      <c r="H213" t="s">
        <v>68</v>
      </c>
      <c r="I213" t="s">
        <v>69</v>
      </c>
      <c r="J213">
        <v>3</v>
      </c>
      <c r="K213" t="s">
        <v>59</v>
      </c>
    </row>
    <row r="214" spans="1:11" x14ac:dyDescent="0.3">
      <c r="A214" t="s">
        <v>307</v>
      </c>
      <c r="B214" t="s">
        <v>46</v>
      </c>
      <c r="C214" s="7">
        <v>45934</v>
      </c>
      <c r="D214" s="7">
        <v>45948</v>
      </c>
      <c r="E214">
        <v>14</v>
      </c>
      <c r="F214">
        <v>673613.99106893956</v>
      </c>
      <c r="G214">
        <v>7473.9</v>
      </c>
      <c r="H214" t="s">
        <v>76</v>
      </c>
      <c r="I214" t="s">
        <v>62</v>
      </c>
      <c r="J214">
        <v>46</v>
      </c>
      <c r="K214" t="s">
        <v>89</v>
      </c>
    </row>
    <row r="215" spans="1:11" x14ac:dyDescent="0.3">
      <c r="A215" t="s">
        <v>308</v>
      </c>
      <c r="B215" t="s">
        <v>46</v>
      </c>
      <c r="C215" s="7">
        <v>45573</v>
      </c>
      <c r="D215" s="7">
        <v>45580</v>
      </c>
      <c r="E215">
        <v>7</v>
      </c>
      <c r="F215">
        <v>564401.86338690505</v>
      </c>
      <c r="G215">
        <v>5791.41</v>
      </c>
      <c r="H215" t="s">
        <v>65</v>
      </c>
      <c r="I215" t="s">
        <v>62</v>
      </c>
      <c r="J215">
        <v>50</v>
      </c>
      <c r="K215" t="s">
        <v>70</v>
      </c>
    </row>
    <row r="216" spans="1:11" x14ac:dyDescent="0.3">
      <c r="A216" t="s">
        <v>309</v>
      </c>
      <c r="B216" t="s">
        <v>38</v>
      </c>
      <c r="C216" s="7">
        <v>45356</v>
      </c>
      <c r="D216" s="7">
        <v>45358</v>
      </c>
      <c r="E216">
        <v>2</v>
      </c>
      <c r="F216">
        <v>797886.15910915856</v>
      </c>
      <c r="G216">
        <v>5363.38</v>
      </c>
      <c r="H216" t="s">
        <v>65</v>
      </c>
      <c r="I216" t="s">
        <v>58</v>
      </c>
      <c r="J216">
        <v>2</v>
      </c>
      <c r="K216" t="s">
        <v>70</v>
      </c>
    </row>
    <row r="217" spans="1:11" x14ac:dyDescent="0.3">
      <c r="A217" t="s">
        <v>310</v>
      </c>
      <c r="B217" t="s">
        <v>39</v>
      </c>
      <c r="C217" s="7">
        <v>45850</v>
      </c>
      <c r="D217" s="7">
        <v>45856</v>
      </c>
      <c r="E217">
        <v>6</v>
      </c>
      <c r="F217">
        <v>336723.47331663407</v>
      </c>
      <c r="G217">
        <v>9986.35</v>
      </c>
      <c r="H217" t="s">
        <v>76</v>
      </c>
      <c r="I217" t="s">
        <v>73</v>
      </c>
      <c r="J217">
        <v>42</v>
      </c>
      <c r="K217" t="s">
        <v>70</v>
      </c>
    </row>
    <row r="218" spans="1:11" x14ac:dyDescent="0.3">
      <c r="A218" t="s">
        <v>311</v>
      </c>
      <c r="B218" t="s">
        <v>53</v>
      </c>
      <c r="C218" s="7">
        <v>45941</v>
      </c>
      <c r="D218" s="7">
        <v>45942</v>
      </c>
      <c r="E218">
        <v>1</v>
      </c>
      <c r="F218">
        <v>323737.83268051251</v>
      </c>
      <c r="G218">
        <v>491.74</v>
      </c>
      <c r="H218" t="s">
        <v>61</v>
      </c>
      <c r="I218" t="s">
        <v>83</v>
      </c>
      <c r="J218">
        <v>30</v>
      </c>
      <c r="K218" t="s">
        <v>89</v>
      </c>
    </row>
    <row r="219" spans="1:11" x14ac:dyDescent="0.3">
      <c r="A219" t="s">
        <v>312</v>
      </c>
      <c r="B219" t="s">
        <v>42</v>
      </c>
      <c r="C219" s="7">
        <v>45794</v>
      </c>
      <c r="D219" s="7">
        <v>45803</v>
      </c>
      <c r="E219">
        <v>9</v>
      </c>
      <c r="F219">
        <v>24290.039366456233</v>
      </c>
      <c r="G219">
        <v>4884.41</v>
      </c>
      <c r="H219" t="s">
        <v>91</v>
      </c>
      <c r="I219" t="s">
        <v>69</v>
      </c>
      <c r="J219">
        <v>21</v>
      </c>
      <c r="K219" t="s">
        <v>77</v>
      </c>
    </row>
    <row r="220" spans="1:11" x14ac:dyDescent="0.3">
      <c r="A220" t="s">
        <v>313</v>
      </c>
      <c r="B220" t="s">
        <v>43</v>
      </c>
      <c r="C220" s="7">
        <v>45988</v>
      </c>
      <c r="D220" s="7">
        <v>45998</v>
      </c>
      <c r="E220">
        <v>10</v>
      </c>
      <c r="F220">
        <v>807760.83531213144</v>
      </c>
      <c r="G220">
        <v>11849.81</v>
      </c>
      <c r="H220" t="s">
        <v>79</v>
      </c>
      <c r="I220" t="s">
        <v>58</v>
      </c>
      <c r="J220">
        <v>14</v>
      </c>
      <c r="K220" t="s">
        <v>70</v>
      </c>
    </row>
    <row r="221" spans="1:11" x14ac:dyDescent="0.3">
      <c r="A221" t="s">
        <v>314</v>
      </c>
      <c r="B221" t="s">
        <v>38</v>
      </c>
      <c r="C221" s="7">
        <v>45842</v>
      </c>
      <c r="D221" s="7">
        <v>45854</v>
      </c>
      <c r="E221">
        <v>12</v>
      </c>
      <c r="F221">
        <v>217665.88632912037</v>
      </c>
      <c r="G221">
        <v>11194.74</v>
      </c>
      <c r="H221" t="s">
        <v>57</v>
      </c>
      <c r="I221" t="s">
        <v>58</v>
      </c>
      <c r="J221">
        <v>7</v>
      </c>
      <c r="K221" t="s">
        <v>77</v>
      </c>
    </row>
    <row r="222" spans="1:11" x14ac:dyDescent="0.3">
      <c r="A222" t="s">
        <v>315</v>
      </c>
      <c r="B222" t="s">
        <v>42</v>
      </c>
      <c r="C222" s="7">
        <v>45884</v>
      </c>
      <c r="D222" s="7">
        <v>45891</v>
      </c>
      <c r="E222">
        <v>7</v>
      </c>
      <c r="F222">
        <v>408733.59838977101</v>
      </c>
      <c r="G222">
        <v>5340.28</v>
      </c>
      <c r="H222" t="s">
        <v>57</v>
      </c>
      <c r="I222" t="s">
        <v>62</v>
      </c>
      <c r="J222">
        <v>33</v>
      </c>
      <c r="K222" t="s">
        <v>70</v>
      </c>
    </row>
    <row r="223" spans="1:11" x14ac:dyDescent="0.3">
      <c r="A223" t="s">
        <v>316</v>
      </c>
      <c r="B223" t="s">
        <v>48</v>
      </c>
      <c r="C223" s="7">
        <v>45750</v>
      </c>
      <c r="D223" s="7">
        <v>45756</v>
      </c>
      <c r="E223">
        <v>6</v>
      </c>
      <c r="F223">
        <v>385180.33296011604</v>
      </c>
      <c r="G223">
        <v>9449.4699999999993</v>
      </c>
      <c r="H223" t="s">
        <v>68</v>
      </c>
      <c r="I223" t="s">
        <v>58</v>
      </c>
      <c r="J223">
        <v>12</v>
      </c>
      <c r="K223" t="s">
        <v>59</v>
      </c>
    </row>
    <row r="224" spans="1:11" x14ac:dyDescent="0.3">
      <c r="A224" t="s">
        <v>318</v>
      </c>
      <c r="B224" t="s">
        <v>44</v>
      </c>
      <c r="C224" s="7">
        <v>45536</v>
      </c>
      <c r="D224" s="7">
        <v>45546</v>
      </c>
      <c r="E224">
        <v>10</v>
      </c>
      <c r="F224">
        <v>196463.94599777411</v>
      </c>
      <c r="G224">
        <v>6304.09</v>
      </c>
      <c r="H224" t="s">
        <v>79</v>
      </c>
      <c r="I224" t="s">
        <v>62</v>
      </c>
      <c r="J224">
        <v>42</v>
      </c>
      <c r="K224" t="s">
        <v>66</v>
      </c>
    </row>
    <row r="225" spans="1:11" x14ac:dyDescent="0.3">
      <c r="A225" t="s">
        <v>319</v>
      </c>
      <c r="B225" t="s">
        <v>48</v>
      </c>
      <c r="C225" s="7">
        <v>45988</v>
      </c>
      <c r="D225" s="7">
        <v>45991</v>
      </c>
      <c r="E225">
        <v>3</v>
      </c>
      <c r="F225">
        <v>111005.15597823277</v>
      </c>
      <c r="G225">
        <v>3040.36</v>
      </c>
      <c r="H225" t="s">
        <v>76</v>
      </c>
      <c r="I225" t="s">
        <v>62</v>
      </c>
      <c r="J225">
        <v>30</v>
      </c>
      <c r="K225" t="s">
        <v>89</v>
      </c>
    </row>
    <row r="226" spans="1:11" x14ac:dyDescent="0.3">
      <c r="A226" t="s">
        <v>320</v>
      </c>
      <c r="B226" t="s">
        <v>44</v>
      </c>
      <c r="C226" s="7">
        <v>45804</v>
      </c>
      <c r="D226" s="7">
        <v>45806</v>
      </c>
      <c r="E226">
        <v>2</v>
      </c>
      <c r="F226">
        <v>262128.92311518325</v>
      </c>
      <c r="G226">
        <v>631.29999999999995</v>
      </c>
      <c r="H226" t="s">
        <v>79</v>
      </c>
      <c r="I226" t="s">
        <v>62</v>
      </c>
      <c r="J226">
        <v>43</v>
      </c>
      <c r="K226" t="s">
        <v>77</v>
      </c>
    </row>
    <row r="227" spans="1:11" x14ac:dyDescent="0.3">
      <c r="A227" t="s">
        <v>321</v>
      </c>
      <c r="B227" t="s">
        <v>48</v>
      </c>
      <c r="C227" s="7">
        <v>45812</v>
      </c>
      <c r="D227" s="7">
        <v>45824</v>
      </c>
      <c r="E227">
        <v>12</v>
      </c>
      <c r="F227">
        <v>22080.352705998077</v>
      </c>
      <c r="G227">
        <v>12921.84</v>
      </c>
      <c r="H227" t="s">
        <v>57</v>
      </c>
      <c r="I227" t="s">
        <v>62</v>
      </c>
      <c r="J227">
        <v>39</v>
      </c>
      <c r="K227" t="s">
        <v>70</v>
      </c>
    </row>
    <row r="228" spans="1:11" x14ac:dyDescent="0.3">
      <c r="A228" t="s">
        <v>322</v>
      </c>
      <c r="B228" t="s">
        <v>43</v>
      </c>
      <c r="C228" s="7">
        <v>45988</v>
      </c>
      <c r="D228" s="7">
        <v>46000</v>
      </c>
      <c r="E228">
        <v>12</v>
      </c>
      <c r="F228">
        <v>713793.57662242709</v>
      </c>
      <c r="G228">
        <v>3691.88</v>
      </c>
      <c r="H228" t="s">
        <v>68</v>
      </c>
      <c r="I228" t="s">
        <v>73</v>
      </c>
      <c r="J228">
        <v>10</v>
      </c>
      <c r="K228" t="s">
        <v>59</v>
      </c>
    </row>
    <row r="229" spans="1:11" x14ac:dyDescent="0.3">
      <c r="A229" t="s">
        <v>323</v>
      </c>
      <c r="B229" t="s">
        <v>41</v>
      </c>
      <c r="C229" s="7">
        <v>45845</v>
      </c>
      <c r="D229" s="7">
        <v>45849</v>
      </c>
      <c r="E229">
        <v>4</v>
      </c>
      <c r="F229">
        <v>822541.40969428781</v>
      </c>
      <c r="G229">
        <v>1027.7</v>
      </c>
      <c r="H229" t="s">
        <v>91</v>
      </c>
      <c r="I229" t="s">
        <v>62</v>
      </c>
      <c r="J229">
        <v>45</v>
      </c>
      <c r="K229" t="s">
        <v>59</v>
      </c>
    </row>
    <row r="230" spans="1:11" x14ac:dyDescent="0.3">
      <c r="A230" t="s">
        <v>324</v>
      </c>
      <c r="B230" t="s">
        <v>38</v>
      </c>
      <c r="C230" s="7">
        <v>45651</v>
      </c>
      <c r="D230" s="7">
        <v>45664</v>
      </c>
      <c r="E230">
        <v>13</v>
      </c>
      <c r="F230">
        <v>705319.40604932199</v>
      </c>
      <c r="G230">
        <v>12024.33</v>
      </c>
      <c r="H230" t="s">
        <v>57</v>
      </c>
      <c r="I230" t="s">
        <v>73</v>
      </c>
      <c r="J230">
        <v>17</v>
      </c>
      <c r="K230" t="s">
        <v>77</v>
      </c>
    </row>
    <row r="231" spans="1:11" x14ac:dyDescent="0.3">
      <c r="A231" t="s">
        <v>325</v>
      </c>
      <c r="B231" t="s">
        <v>42</v>
      </c>
      <c r="C231" s="7">
        <v>45990</v>
      </c>
      <c r="D231" s="7">
        <v>46004</v>
      </c>
      <c r="E231">
        <v>14</v>
      </c>
      <c r="F231">
        <v>774447.22066969681</v>
      </c>
      <c r="G231">
        <v>2006.4</v>
      </c>
      <c r="H231" t="s">
        <v>79</v>
      </c>
      <c r="I231" t="s">
        <v>73</v>
      </c>
      <c r="J231">
        <v>55</v>
      </c>
      <c r="K231" t="s">
        <v>89</v>
      </c>
    </row>
    <row r="232" spans="1:11" x14ac:dyDescent="0.3">
      <c r="A232" t="s">
        <v>326</v>
      </c>
      <c r="B232" t="s">
        <v>38</v>
      </c>
      <c r="C232" s="7">
        <v>45790</v>
      </c>
      <c r="D232" s="7">
        <v>45791</v>
      </c>
      <c r="E232">
        <v>1</v>
      </c>
      <c r="F232">
        <v>892259.9137639947</v>
      </c>
      <c r="G232">
        <v>11398.69</v>
      </c>
      <c r="H232" t="s">
        <v>61</v>
      </c>
      <c r="I232" t="s">
        <v>73</v>
      </c>
      <c r="J232">
        <v>56</v>
      </c>
      <c r="K232" t="s">
        <v>66</v>
      </c>
    </row>
    <row r="233" spans="1:11" x14ac:dyDescent="0.3">
      <c r="A233" t="s">
        <v>327</v>
      </c>
      <c r="B233" t="s">
        <v>49</v>
      </c>
      <c r="C233" s="7">
        <v>45602</v>
      </c>
      <c r="D233" s="7">
        <v>45615</v>
      </c>
      <c r="E233">
        <v>13</v>
      </c>
      <c r="F233">
        <v>155429.44861761903</v>
      </c>
      <c r="G233">
        <v>4062.36</v>
      </c>
      <c r="H233" t="s">
        <v>57</v>
      </c>
      <c r="I233" t="s">
        <v>62</v>
      </c>
      <c r="J233">
        <v>27</v>
      </c>
      <c r="K233" t="s">
        <v>77</v>
      </c>
    </row>
    <row r="234" spans="1:11" x14ac:dyDescent="0.3">
      <c r="A234" t="s">
        <v>328</v>
      </c>
      <c r="B234" t="s">
        <v>45</v>
      </c>
      <c r="C234" s="7">
        <v>45680</v>
      </c>
      <c r="D234" s="7">
        <v>45690</v>
      </c>
      <c r="E234">
        <v>10</v>
      </c>
      <c r="F234">
        <v>612399.50961977709</v>
      </c>
      <c r="G234">
        <v>9526.31</v>
      </c>
      <c r="H234" t="s">
        <v>79</v>
      </c>
      <c r="I234" t="s">
        <v>73</v>
      </c>
      <c r="J234">
        <v>1</v>
      </c>
      <c r="K234" t="s">
        <v>89</v>
      </c>
    </row>
    <row r="235" spans="1:11" x14ac:dyDescent="0.3">
      <c r="A235" t="s">
        <v>329</v>
      </c>
      <c r="B235" t="s">
        <v>48</v>
      </c>
      <c r="C235" s="7">
        <v>46012</v>
      </c>
      <c r="D235" s="7">
        <v>46013</v>
      </c>
      <c r="E235">
        <v>1</v>
      </c>
      <c r="F235">
        <v>108412.47390062708</v>
      </c>
      <c r="G235">
        <v>3894.13</v>
      </c>
      <c r="H235" t="s">
        <v>65</v>
      </c>
      <c r="I235" t="s">
        <v>73</v>
      </c>
      <c r="J235">
        <v>55</v>
      </c>
      <c r="K235" t="s">
        <v>77</v>
      </c>
    </row>
    <row r="236" spans="1:11" x14ac:dyDescent="0.3">
      <c r="A236" t="s">
        <v>330</v>
      </c>
      <c r="B236" t="s">
        <v>50</v>
      </c>
      <c r="C236" s="7">
        <v>45947</v>
      </c>
      <c r="D236" s="7">
        <v>45960</v>
      </c>
      <c r="E236">
        <v>13</v>
      </c>
      <c r="F236">
        <v>701257.62214773241</v>
      </c>
      <c r="G236">
        <v>4058.06</v>
      </c>
      <c r="H236" t="s">
        <v>65</v>
      </c>
      <c r="I236" t="s">
        <v>58</v>
      </c>
      <c r="J236">
        <v>53</v>
      </c>
      <c r="K236" t="s">
        <v>70</v>
      </c>
    </row>
    <row r="237" spans="1:11" x14ac:dyDescent="0.3">
      <c r="A237" t="s">
        <v>331</v>
      </c>
      <c r="B237" t="s">
        <v>41</v>
      </c>
      <c r="C237" s="7">
        <v>45712</v>
      </c>
      <c r="D237" s="7">
        <v>45714</v>
      </c>
      <c r="E237">
        <v>2</v>
      </c>
      <c r="F237">
        <v>376817.94877742213</v>
      </c>
      <c r="G237">
        <v>5784.34</v>
      </c>
      <c r="H237" t="s">
        <v>79</v>
      </c>
      <c r="I237" t="s">
        <v>58</v>
      </c>
      <c r="J237">
        <v>15</v>
      </c>
      <c r="K237" t="s">
        <v>59</v>
      </c>
    </row>
    <row r="238" spans="1:11" x14ac:dyDescent="0.3">
      <c r="A238" t="s">
        <v>332</v>
      </c>
      <c r="B238" t="s">
        <v>40</v>
      </c>
      <c r="C238" s="7">
        <v>45712</v>
      </c>
      <c r="D238" s="7">
        <v>45721</v>
      </c>
      <c r="E238">
        <v>9</v>
      </c>
      <c r="F238">
        <v>207866.79296966409</v>
      </c>
      <c r="G238">
        <v>12396.52</v>
      </c>
      <c r="H238" t="s">
        <v>65</v>
      </c>
      <c r="I238" t="s">
        <v>73</v>
      </c>
      <c r="J238">
        <v>27</v>
      </c>
      <c r="K238" t="s">
        <v>66</v>
      </c>
    </row>
    <row r="239" spans="1:11" x14ac:dyDescent="0.3">
      <c r="A239" t="s">
        <v>333</v>
      </c>
      <c r="B239" t="s">
        <v>50</v>
      </c>
      <c r="C239" s="7">
        <v>45649</v>
      </c>
      <c r="D239" s="7">
        <v>45653</v>
      </c>
      <c r="E239">
        <v>4</v>
      </c>
      <c r="F239">
        <v>226780.92319725349</v>
      </c>
      <c r="G239">
        <v>6874.46</v>
      </c>
      <c r="H239" t="s">
        <v>76</v>
      </c>
      <c r="I239" t="s">
        <v>62</v>
      </c>
      <c r="J239">
        <v>38</v>
      </c>
      <c r="K239" t="s">
        <v>89</v>
      </c>
    </row>
    <row r="240" spans="1:11" x14ac:dyDescent="0.3">
      <c r="A240" t="s">
        <v>334</v>
      </c>
      <c r="B240" t="s">
        <v>38</v>
      </c>
      <c r="C240" s="7">
        <v>45840</v>
      </c>
      <c r="D240" s="7">
        <v>45851</v>
      </c>
      <c r="E240">
        <v>11</v>
      </c>
      <c r="F240">
        <v>380673.30894671817</v>
      </c>
      <c r="G240">
        <v>3340.82</v>
      </c>
      <c r="H240" t="s">
        <v>68</v>
      </c>
      <c r="I240" t="s">
        <v>69</v>
      </c>
      <c r="J240">
        <v>48</v>
      </c>
      <c r="K240" t="s">
        <v>77</v>
      </c>
    </row>
    <row r="241" spans="1:11" x14ac:dyDescent="0.3">
      <c r="A241" t="s">
        <v>335</v>
      </c>
      <c r="B241" t="s">
        <v>39</v>
      </c>
      <c r="C241" s="7">
        <v>45400</v>
      </c>
      <c r="D241" s="7">
        <v>45400</v>
      </c>
      <c r="E241">
        <v>0</v>
      </c>
      <c r="F241">
        <v>319244.7819659161</v>
      </c>
      <c r="G241">
        <v>3675.65</v>
      </c>
      <c r="H241" t="s">
        <v>61</v>
      </c>
      <c r="I241" t="s">
        <v>58</v>
      </c>
      <c r="J241">
        <v>43</v>
      </c>
      <c r="K241" t="s">
        <v>77</v>
      </c>
    </row>
    <row r="242" spans="1:11" x14ac:dyDescent="0.3">
      <c r="A242" t="s">
        <v>336</v>
      </c>
      <c r="B242" t="s">
        <v>47</v>
      </c>
      <c r="C242" s="7">
        <v>45533</v>
      </c>
      <c r="D242" s="7">
        <v>45541</v>
      </c>
      <c r="E242">
        <v>8</v>
      </c>
      <c r="F242">
        <v>471151.68898569065</v>
      </c>
      <c r="G242">
        <v>5219.82</v>
      </c>
      <c r="H242" t="s">
        <v>68</v>
      </c>
      <c r="I242" t="s">
        <v>73</v>
      </c>
      <c r="J242">
        <v>6</v>
      </c>
      <c r="K242" t="s">
        <v>70</v>
      </c>
    </row>
    <row r="243" spans="1:11" x14ac:dyDescent="0.3">
      <c r="A243" t="s">
        <v>337</v>
      </c>
      <c r="B243" t="s">
        <v>40</v>
      </c>
      <c r="C243" s="7">
        <v>45736</v>
      </c>
      <c r="D243" s="7">
        <v>45736</v>
      </c>
      <c r="E243">
        <v>0</v>
      </c>
      <c r="F243">
        <v>932325.17232728889</v>
      </c>
      <c r="G243">
        <v>7588.32</v>
      </c>
      <c r="H243" t="s">
        <v>79</v>
      </c>
      <c r="I243" t="s">
        <v>62</v>
      </c>
      <c r="J243">
        <v>48</v>
      </c>
      <c r="K243" t="s">
        <v>70</v>
      </c>
    </row>
    <row r="244" spans="1:11" x14ac:dyDescent="0.3">
      <c r="A244" t="s">
        <v>338</v>
      </c>
      <c r="B244" t="s">
        <v>42</v>
      </c>
      <c r="C244" s="7">
        <v>45702</v>
      </c>
      <c r="D244" s="7">
        <v>45710</v>
      </c>
      <c r="E244">
        <v>8</v>
      </c>
      <c r="F244">
        <v>300394.1667328786</v>
      </c>
      <c r="G244">
        <v>13411.54</v>
      </c>
      <c r="H244" t="s">
        <v>61</v>
      </c>
      <c r="I244" t="s">
        <v>69</v>
      </c>
      <c r="J244">
        <v>49</v>
      </c>
      <c r="K244" t="s">
        <v>66</v>
      </c>
    </row>
    <row r="245" spans="1:11" x14ac:dyDescent="0.3">
      <c r="A245" t="s">
        <v>339</v>
      </c>
      <c r="B245" t="s">
        <v>38</v>
      </c>
      <c r="C245" s="7">
        <v>45442</v>
      </c>
      <c r="D245" s="7">
        <v>45445</v>
      </c>
      <c r="E245">
        <v>3</v>
      </c>
      <c r="F245">
        <v>177077.26421071915</v>
      </c>
      <c r="G245">
        <v>7159.66</v>
      </c>
      <c r="H245" t="s">
        <v>76</v>
      </c>
      <c r="I245" t="s">
        <v>69</v>
      </c>
      <c r="J245">
        <v>28</v>
      </c>
      <c r="K245" t="s">
        <v>59</v>
      </c>
    </row>
    <row r="246" spans="1:11" x14ac:dyDescent="0.3">
      <c r="A246" t="s">
        <v>341</v>
      </c>
      <c r="B246" t="s">
        <v>41</v>
      </c>
      <c r="C246" s="7">
        <v>45590</v>
      </c>
      <c r="D246" s="7">
        <v>45601</v>
      </c>
      <c r="E246">
        <v>11</v>
      </c>
      <c r="F246">
        <v>486247.29774082405</v>
      </c>
      <c r="G246">
        <v>4237.3100000000004</v>
      </c>
      <c r="H246" t="s">
        <v>65</v>
      </c>
      <c r="I246" t="s">
        <v>58</v>
      </c>
      <c r="J246">
        <v>14</v>
      </c>
      <c r="K246" t="s">
        <v>77</v>
      </c>
    </row>
    <row r="247" spans="1:11" x14ac:dyDescent="0.3">
      <c r="A247" t="s">
        <v>342</v>
      </c>
      <c r="B247" t="s">
        <v>46</v>
      </c>
      <c r="C247" s="7">
        <v>45997</v>
      </c>
      <c r="D247" s="7">
        <v>46011</v>
      </c>
      <c r="E247">
        <v>14</v>
      </c>
      <c r="F247">
        <v>76134.788819332753</v>
      </c>
      <c r="G247">
        <v>11570.15</v>
      </c>
      <c r="H247" t="s">
        <v>65</v>
      </c>
      <c r="I247" t="s">
        <v>83</v>
      </c>
      <c r="J247">
        <v>57</v>
      </c>
      <c r="K247" t="s">
        <v>70</v>
      </c>
    </row>
    <row r="248" spans="1:11" x14ac:dyDescent="0.3">
      <c r="A248" t="s">
        <v>343</v>
      </c>
      <c r="B248" t="s">
        <v>42</v>
      </c>
      <c r="C248" s="7">
        <v>45742</v>
      </c>
      <c r="D248" s="7">
        <v>45748</v>
      </c>
      <c r="E248">
        <v>6</v>
      </c>
      <c r="F248">
        <v>357887.93980119482</v>
      </c>
      <c r="G248">
        <v>13951.4</v>
      </c>
      <c r="H248" t="s">
        <v>57</v>
      </c>
      <c r="I248" t="s">
        <v>62</v>
      </c>
      <c r="J248">
        <v>10</v>
      </c>
      <c r="K248" t="s">
        <v>59</v>
      </c>
    </row>
    <row r="249" spans="1:11" x14ac:dyDescent="0.3">
      <c r="A249" t="s">
        <v>344</v>
      </c>
      <c r="B249" t="s">
        <v>46</v>
      </c>
      <c r="C249" s="7">
        <v>45672</v>
      </c>
      <c r="D249" s="7">
        <v>45678</v>
      </c>
      <c r="E249">
        <v>6</v>
      </c>
      <c r="F249">
        <v>245466.39944445624</v>
      </c>
      <c r="G249">
        <v>3753.19</v>
      </c>
      <c r="H249" t="s">
        <v>79</v>
      </c>
      <c r="I249" t="s">
        <v>69</v>
      </c>
      <c r="J249">
        <v>6</v>
      </c>
      <c r="K249" t="s">
        <v>59</v>
      </c>
    </row>
    <row r="250" spans="1:11" x14ac:dyDescent="0.3">
      <c r="A250" t="s">
        <v>345</v>
      </c>
      <c r="B250" t="s">
        <v>40</v>
      </c>
      <c r="C250" s="7">
        <v>45910</v>
      </c>
      <c r="D250" s="7">
        <v>45914</v>
      </c>
      <c r="E250">
        <v>4</v>
      </c>
      <c r="F250">
        <v>617693.48441567214</v>
      </c>
      <c r="G250">
        <v>14325.6</v>
      </c>
      <c r="H250" t="s">
        <v>76</v>
      </c>
      <c r="I250" t="s">
        <v>83</v>
      </c>
      <c r="J250">
        <v>20</v>
      </c>
      <c r="K250" t="s">
        <v>89</v>
      </c>
    </row>
    <row r="251" spans="1:11" x14ac:dyDescent="0.3">
      <c r="A251" t="s">
        <v>346</v>
      </c>
      <c r="B251" t="s">
        <v>53</v>
      </c>
      <c r="C251" s="7">
        <v>45763</v>
      </c>
      <c r="D251" s="7">
        <v>45772</v>
      </c>
      <c r="E251">
        <v>9</v>
      </c>
      <c r="F251">
        <v>573228.54217977275</v>
      </c>
      <c r="G251">
        <v>1535.29</v>
      </c>
      <c r="H251" t="s">
        <v>68</v>
      </c>
      <c r="I251" t="s">
        <v>62</v>
      </c>
      <c r="J251">
        <v>40</v>
      </c>
      <c r="K251" t="s">
        <v>66</v>
      </c>
    </row>
    <row r="252" spans="1:11" x14ac:dyDescent="0.3">
      <c r="A252" t="s">
        <v>347</v>
      </c>
      <c r="B252" t="s">
        <v>48</v>
      </c>
      <c r="C252" s="7">
        <v>45517</v>
      </c>
      <c r="D252" s="7">
        <v>45525</v>
      </c>
      <c r="E252">
        <v>8</v>
      </c>
      <c r="F252">
        <v>327679.57324239908</v>
      </c>
      <c r="G252">
        <v>7060.17</v>
      </c>
      <c r="H252" t="s">
        <v>76</v>
      </c>
      <c r="I252" t="s">
        <v>73</v>
      </c>
      <c r="J252">
        <v>60</v>
      </c>
      <c r="K252" t="s">
        <v>89</v>
      </c>
    </row>
    <row r="253" spans="1:11" x14ac:dyDescent="0.3">
      <c r="A253" t="s">
        <v>348</v>
      </c>
      <c r="B253" t="s">
        <v>42</v>
      </c>
      <c r="C253" s="7">
        <v>45599</v>
      </c>
      <c r="D253" s="7">
        <v>45613</v>
      </c>
      <c r="E253">
        <v>14</v>
      </c>
      <c r="F253">
        <v>764281.64579167648</v>
      </c>
      <c r="G253">
        <v>4645.82</v>
      </c>
      <c r="H253" t="s">
        <v>76</v>
      </c>
      <c r="I253" t="s">
        <v>62</v>
      </c>
      <c r="J253">
        <v>54</v>
      </c>
      <c r="K253" t="s">
        <v>66</v>
      </c>
    </row>
    <row r="254" spans="1:11" x14ac:dyDescent="0.3">
      <c r="A254" t="s">
        <v>349</v>
      </c>
      <c r="B254" t="s">
        <v>48</v>
      </c>
      <c r="C254" s="7">
        <v>45904</v>
      </c>
      <c r="D254" s="7">
        <v>45909</v>
      </c>
      <c r="E254">
        <v>5</v>
      </c>
      <c r="F254">
        <v>245178.04136919093</v>
      </c>
      <c r="G254">
        <v>1410.19</v>
      </c>
      <c r="H254" t="s">
        <v>91</v>
      </c>
      <c r="I254" t="s">
        <v>83</v>
      </c>
      <c r="J254">
        <v>8</v>
      </c>
      <c r="K254" t="s">
        <v>89</v>
      </c>
    </row>
    <row r="255" spans="1:11" x14ac:dyDescent="0.3">
      <c r="A255" t="s">
        <v>350</v>
      </c>
      <c r="B255" t="s">
        <v>50</v>
      </c>
      <c r="C255" s="7">
        <v>45780</v>
      </c>
      <c r="D255" s="7">
        <v>45780</v>
      </c>
      <c r="E255">
        <v>0</v>
      </c>
      <c r="F255">
        <v>82263.985793584317</v>
      </c>
      <c r="G255">
        <v>13175.98</v>
      </c>
      <c r="H255" t="s">
        <v>61</v>
      </c>
      <c r="I255" t="s">
        <v>62</v>
      </c>
      <c r="J255">
        <v>38</v>
      </c>
      <c r="K255" t="s">
        <v>89</v>
      </c>
    </row>
    <row r="256" spans="1:11" x14ac:dyDescent="0.3">
      <c r="A256" t="s">
        <v>351</v>
      </c>
      <c r="B256" t="s">
        <v>47</v>
      </c>
      <c r="C256" s="7">
        <v>45614</v>
      </c>
      <c r="D256" s="7">
        <v>45617</v>
      </c>
      <c r="E256">
        <v>3</v>
      </c>
      <c r="F256">
        <v>178925.55055217739</v>
      </c>
      <c r="G256">
        <v>11256.03</v>
      </c>
      <c r="H256" t="s">
        <v>91</v>
      </c>
      <c r="I256" t="s">
        <v>62</v>
      </c>
      <c r="J256">
        <v>56</v>
      </c>
      <c r="K256" t="s">
        <v>59</v>
      </c>
    </row>
    <row r="257" spans="1:11" x14ac:dyDescent="0.3">
      <c r="A257" t="s">
        <v>352</v>
      </c>
      <c r="B257" t="s">
        <v>46</v>
      </c>
      <c r="C257" s="7">
        <v>45696</v>
      </c>
      <c r="D257" s="7">
        <v>45697</v>
      </c>
      <c r="E257">
        <v>1</v>
      </c>
      <c r="F257">
        <v>15808.882143950414</v>
      </c>
      <c r="G257">
        <v>9905.85</v>
      </c>
      <c r="H257" t="s">
        <v>68</v>
      </c>
      <c r="I257" t="s">
        <v>69</v>
      </c>
      <c r="J257">
        <v>56</v>
      </c>
      <c r="K257" t="s">
        <v>77</v>
      </c>
    </row>
    <row r="258" spans="1:11" x14ac:dyDescent="0.3">
      <c r="A258" t="s">
        <v>354</v>
      </c>
      <c r="B258" t="s">
        <v>40</v>
      </c>
      <c r="C258" s="7">
        <v>45547</v>
      </c>
      <c r="D258" s="7">
        <v>45548</v>
      </c>
      <c r="E258">
        <v>1</v>
      </c>
      <c r="F258">
        <v>777977.38406688743</v>
      </c>
      <c r="G258">
        <v>10501.28</v>
      </c>
      <c r="H258" t="s">
        <v>76</v>
      </c>
      <c r="I258" t="s">
        <v>83</v>
      </c>
      <c r="J258">
        <v>14</v>
      </c>
      <c r="K258" t="s">
        <v>89</v>
      </c>
    </row>
    <row r="259" spans="1:11" x14ac:dyDescent="0.3">
      <c r="A259" t="s">
        <v>355</v>
      </c>
      <c r="B259" t="s">
        <v>38</v>
      </c>
      <c r="C259" s="7">
        <v>45484</v>
      </c>
      <c r="D259" s="7">
        <v>45495</v>
      </c>
      <c r="E259">
        <v>11</v>
      </c>
      <c r="F259">
        <v>670327.09010088234</v>
      </c>
      <c r="G259">
        <v>14465.23</v>
      </c>
      <c r="H259" t="s">
        <v>68</v>
      </c>
      <c r="I259" t="s">
        <v>83</v>
      </c>
      <c r="J259">
        <v>56</v>
      </c>
      <c r="K259" t="s">
        <v>89</v>
      </c>
    </row>
    <row r="260" spans="1:11" x14ac:dyDescent="0.3">
      <c r="A260" t="s">
        <v>356</v>
      </c>
      <c r="B260" t="s">
        <v>41</v>
      </c>
      <c r="C260" s="7">
        <v>45832</v>
      </c>
      <c r="D260" s="7">
        <v>45832</v>
      </c>
      <c r="E260">
        <v>0</v>
      </c>
      <c r="F260">
        <v>320182.89843544667</v>
      </c>
      <c r="G260">
        <v>1719.42</v>
      </c>
      <c r="H260" t="s">
        <v>79</v>
      </c>
      <c r="I260" t="s">
        <v>69</v>
      </c>
      <c r="J260">
        <v>27</v>
      </c>
      <c r="K260" t="s">
        <v>89</v>
      </c>
    </row>
    <row r="261" spans="1:11" x14ac:dyDescent="0.3">
      <c r="A261" t="s">
        <v>357</v>
      </c>
      <c r="B261" t="s">
        <v>38</v>
      </c>
      <c r="C261" s="7">
        <v>46014</v>
      </c>
      <c r="D261" s="7">
        <v>46022</v>
      </c>
      <c r="E261">
        <v>8</v>
      </c>
      <c r="F261">
        <v>564396.7821873409</v>
      </c>
      <c r="G261">
        <v>9250.1299999999992</v>
      </c>
      <c r="H261" t="s">
        <v>65</v>
      </c>
      <c r="I261" t="s">
        <v>69</v>
      </c>
      <c r="J261">
        <v>15</v>
      </c>
      <c r="K261" t="s">
        <v>59</v>
      </c>
    </row>
    <row r="262" spans="1:11" x14ac:dyDescent="0.3">
      <c r="A262" t="s">
        <v>359</v>
      </c>
      <c r="B262" t="s">
        <v>45</v>
      </c>
      <c r="C262" s="7">
        <v>45661</v>
      </c>
      <c r="D262" s="7">
        <v>45663</v>
      </c>
      <c r="E262">
        <v>2</v>
      </c>
      <c r="F262">
        <v>276656.07266907778</v>
      </c>
      <c r="G262">
        <v>3044.58</v>
      </c>
      <c r="H262" t="s">
        <v>61</v>
      </c>
      <c r="I262" t="s">
        <v>69</v>
      </c>
      <c r="J262">
        <v>15</v>
      </c>
      <c r="K262" t="s">
        <v>77</v>
      </c>
    </row>
    <row r="263" spans="1:11" x14ac:dyDescent="0.3">
      <c r="A263" t="s">
        <v>360</v>
      </c>
      <c r="B263" t="s">
        <v>52</v>
      </c>
      <c r="C263" s="7">
        <v>45985</v>
      </c>
      <c r="D263" s="7">
        <v>45997</v>
      </c>
      <c r="E263">
        <v>12</v>
      </c>
      <c r="F263">
        <v>451671.64015664451</v>
      </c>
      <c r="G263">
        <v>14569.94</v>
      </c>
      <c r="H263" t="s">
        <v>76</v>
      </c>
      <c r="I263" t="s">
        <v>58</v>
      </c>
      <c r="J263">
        <v>14</v>
      </c>
      <c r="K263" t="s">
        <v>70</v>
      </c>
    </row>
    <row r="264" spans="1:11" x14ac:dyDescent="0.3">
      <c r="A264" t="s">
        <v>361</v>
      </c>
      <c r="B264" t="s">
        <v>48</v>
      </c>
      <c r="C264" s="7">
        <v>45686</v>
      </c>
      <c r="D264" s="7">
        <v>45689</v>
      </c>
      <c r="E264">
        <v>3</v>
      </c>
      <c r="F264">
        <v>151603.94049576233</v>
      </c>
      <c r="G264">
        <v>7484.35</v>
      </c>
      <c r="H264" t="s">
        <v>79</v>
      </c>
      <c r="I264" t="s">
        <v>69</v>
      </c>
      <c r="J264">
        <v>32</v>
      </c>
      <c r="K264" t="s">
        <v>70</v>
      </c>
    </row>
    <row r="265" spans="1:11" x14ac:dyDescent="0.3">
      <c r="A265" t="s">
        <v>362</v>
      </c>
      <c r="B265" t="s">
        <v>41</v>
      </c>
      <c r="C265" s="7">
        <v>45555</v>
      </c>
      <c r="D265" s="7">
        <v>45560</v>
      </c>
      <c r="E265">
        <v>5</v>
      </c>
      <c r="F265">
        <v>839639.64622764033</v>
      </c>
      <c r="G265">
        <v>5484.25</v>
      </c>
      <c r="H265" t="s">
        <v>76</v>
      </c>
      <c r="I265" t="s">
        <v>73</v>
      </c>
      <c r="J265">
        <v>53</v>
      </c>
      <c r="K265" t="s">
        <v>77</v>
      </c>
    </row>
    <row r="266" spans="1:11" x14ac:dyDescent="0.3">
      <c r="A266" t="s">
        <v>363</v>
      </c>
      <c r="B266" t="s">
        <v>50</v>
      </c>
      <c r="C266" s="7">
        <v>45773</v>
      </c>
      <c r="D266" s="7">
        <v>45774</v>
      </c>
      <c r="E266">
        <v>1</v>
      </c>
      <c r="F266">
        <v>589582.38297697785</v>
      </c>
      <c r="G266">
        <v>1986.18</v>
      </c>
      <c r="H266" t="s">
        <v>76</v>
      </c>
      <c r="I266" t="s">
        <v>69</v>
      </c>
      <c r="J266">
        <v>17</v>
      </c>
      <c r="K266" t="s">
        <v>70</v>
      </c>
    </row>
    <row r="267" spans="1:11" x14ac:dyDescent="0.3">
      <c r="A267" t="s">
        <v>364</v>
      </c>
      <c r="B267" t="s">
        <v>50</v>
      </c>
      <c r="C267" s="7">
        <v>45886</v>
      </c>
      <c r="D267" s="7">
        <v>45890</v>
      </c>
      <c r="E267">
        <v>4</v>
      </c>
      <c r="F267">
        <v>854273.50097238191</v>
      </c>
      <c r="G267">
        <v>12830.44</v>
      </c>
      <c r="H267" t="s">
        <v>79</v>
      </c>
      <c r="I267" t="s">
        <v>58</v>
      </c>
      <c r="J267">
        <v>39</v>
      </c>
      <c r="K267" t="s">
        <v>59</v>
      </c>
    </row>
    <row r="268" spans="1:11" x14ac:dyDescent="0.3">
      <c r="A268" t="s">
        <v>365</v>
      </c>
      <c r="B268" t="s">
        <v>53</v>
      </c>
      <c r="C268" s="7">
        <v>45998</v>
      </c>
      <c r="D268" s="7">
        <v>46011</v>
      </c>
      <c r="E268">
        <v>13</v>
      </c>
      <c r="F268">
        <v>720811.3483704587</v>
      </c>
      <c r="G268">
        <v>14624.96</v>
      </c>
      <c r="H268" t="s">
        <v>79</v>
      </c>
      <c r="I268" t="s">
        <v>58</v>
      </c>
      <c r="J268">
        <v>40</v>
      </c>
      <c r="K268" t="s">
        <v>59</v>
      </c>
    </row>
    <row r="269" spans="1:11" x14ac:dyDescent="0.3">
      <c r="A269" t="s">
        <v>366</v>
      </c>
      <c r="B269" t="s">
        <v>46</v>
      </c>
      <c r="C269" s="7">
        <v>45973</v>
      </c>
      <c r="D269" s="7">
        <v>45974</v>
      </c>
      <c r="E269">
        <v>1</v>
      </c>
      <c r="F269">
        <v>830109.22129513824</v>
      </c>
      <c r="G269">
        <v>13682.59</v>
      </c>
      <c r="H269" t="s">
        <v>76</v>
      </c>
      <c r="I269" t="s">
        <v>62</v>
      </c>
      <c r="J269">
        <v>46</v>
      </c>
      <c r="K269" t="s">
        <v>89</v>
      </c>
    </row>
    <row r="270" spans="1:11" x14ac:dyDescent="0.3">
      <c r="A270" t="s">
        <v>367</v>
      </c>
      <c r="B270" t="s">
        <v>49</v>
      </c>
      <c r="C270" s="7">
        <v>45989</v>
      </c>
      <c r="D270" s="7">
        <v>45994</v>
      </c>
      <c r="E270">
        <v>5</v>
      </c>
      <c r="F270">
        <v>320901.88817377336</v>
      </c>
      <c r="G270">
        <v>2239.0300000000002</v>
      </c>
      <c r="H270" t="s">
        <v>79</v>
      </c>
      <c r="I270" t="s">
        <v>73</v>
      </c>
      <c r="J270">
        <v>29</v>
      </c>
      <c r="K270" t="s">
        <v>89</v>
      </c>
    </row>
    <row r="271" spans="1:11" x14ac:dyDescent="0.3">
      <c r="A271" t="s">
        <v>368</v>
      </c>
      <c r="B271" t="s">
        <v>41</v>
      </c>
      <c r="C271" s="7">
        <v>45808</v>
      </c>
      <c r="D271" s="7">
        <v>45816</v>
      </c>
      <c r="E271">
        <v>8</v>
      </c>
      <c r="F271">
        <v>165797.00117831418</v>
      </c>
      <c r="G271">
        <v>4137.03</v>
      </c>
      <c r="H271" t="s">
        <v>65</v>
      </c>
      <c r="I271" t="s">
        <v>69</v>
      </c>
      <c r="J271">
        <v>24</v>
      </c>
      <c r="K271" t="s">
        <v>66</v>
      </c>
    </row>
    <row r="272" spans="1:11" x14ac:dyDescent="0.3">
      <c r="A272" t="s">
        <v>369</v>
      </c>
      <c r="B272" t="s">
        <v>50</v>
      </c>
      <c r="C272" s="7">
        <v>45782</v>
      </c>
      <c r="D272" s="7">
        <v>45784</v>
      </c>
      <c r="E272">
        <v>2</v>
      </c>
      <c r="F272">
        <v>764494.42102342518</v>
      </c>
      <c r="G272">
        <v>6318.46</v>
      </c>
      <c r="H272" t="s">
        <v>68</v>
      </c>
      <c r="I272" t="s">
        <v>69</v>
      </c>
      <c r="J272">
        <v>55</v>
      </c>
      <c r="K272" t="s">
        <v>77</v>
      </c>
    </row>
    <row r="273" spans="1:11" x14ac:dyDescent="0.3">
      <c r="A273" t="s">
        <v>370</v>
      </c>
      <c r="B273" t="s">
        <v>38</v>
      </c>
      <c r="C273" s="7">
        <v>45519</v>
      </c>
      <c r="D273" s="7">
        <v>45530</v>
      </c>
      <c r="E273">
        <v>11</v>
      </c>
      <c r="F273">
        <v>768746.74990867008</v>
      </c>
      <c r="G273">
        <v>14165.91</v>
      </c>
      <c r="H273" t="s">
        <v>57</v>
      </c>
      <c r="I273" t="s">
        <v>62</v>
      </c>
      <c r="J273">
        <v>21</v>
      </c>
      <c r="K273" t="s">
        <v>89</v>
      </c>
    </row>
    <row r="274" spans="1:11" x14ac:dyDescent="0.3">
      <c r="A274" t="s">
        <v>371</v>
      </c>
      <c r="B274" t="s">
        <v>44</v>
      </c>
      <c r="C274" s="7">
        <v>45341</v>
      </c>
      <c r="D274" s="7">
        <v>45351</v>
      </c>
      <c r="E274">
        <v>10</v>
      </c>
      <c r="F274">
        <v>879152.95948827907</v>
      </c>
      <c r="G274">
        <v>2434.09</v>
      </c>
      <c r="H274" t="s">
        <v>91</v>
      </c>
      <c r="I274" t="s">
        <v>83</v>
      </c>
      <c r="J274">
        <v>41</v>
      </c>
      <c r="K274" t="s">
        <v>77</v>
      </c>
    </row>
    <row r="275" spans="1:11" x14ac:dyDescent="0.3">
      <c r="A275" t="s">
        <v>372</v>
      </c>
      <c r="B275" t="s">
        <v>50</v>
      </c>
      <c r="C275" s="7">
        <v>45478</v>
      </c>
      <c r="D275" s="7">
        <v>45478</v>
      </c>
      <c r="E275">
        <v>0</v>
      </c>
      <c r="F275">
        <v>513495.23040355899</v>
      </c>
      <c r="G275">
        <v>5971.9</v>
      </c>
      <c r="H275" t="s">
        <v>65</v>
      </c>
      <c r="I275" t="s">
        <v>73</v>
      </c>
      <c r="J275">
        <v>34</v>
      </c>
      <c r="K275" t="s">
        <v>77</v>
      </c>
    </row>
    <row r="276" spans="1:11" x14ac:dyDescent="0.3">
      <c r="A276" t="s">
        <v>373</v>
      </c>
      <c r="B276" t="s">
        <v>41</v>
      </c>
      <c r="C276" s="7">
        <v>45904</v>
      </c>
      <c r="D276" s="7">
        <v>45908</v>
      </c>
      <c r="E276">
        <v>4</v>
      </c>
      <c r="F276">
        <v>498209.71181471564</v>
      </c>
      <c r="G276">
        <v>11404.29</v>
      </c>
      <c r="H276" t="s">
        <v>76</v>
      </c>
      <c r="I276" t="s">
        <v>83</v>
      </c>
      <c r="J276">
        <v>2</v>
      </c>
      <c r="K276" t="s">
        <v>77</v>
      </c>
    </row>
    <row r="277" spans="1:11" x14ac:dyDescent="0.3">
      <c r="A277" t="s">
        <v>374</v>
      </c>
      <c r="B277" t="s">
        <v>41</v>
      </c>
      <c r="C277" s="7">
        <v>45868</v>
      </c>
      <c r="D277" s="7">
        <v>45876</v>
      </c>
      <c r="E277">
        <v>8</v>
      </c>
      <c r="F277">
        <v>108045.99238206302</v>
      </c>
      <c r="G277">
        <v>1087.2</v>
      </c>
      <c r="H277" t="s">
        <v>61</v>
      </c>
      <c r="I277" t="s">
        <v>62</v>
      </c>
      <c r="J277">
        <v>41</v>
      </c>
      <c r="K277" t="s">
        <v>77</v>
      </c>
    </row>
    <row r="278" spans="1:11" x14ac:dyDescent="0.3">
      <c r="A278" t="s">
        <v>375</v>
      </c>
      <c r="B278" t="s">
        <v>39</v>
      </c>
      <c r="C278" s="7">
        <v>45982</v>
      </c>
      <c r="D278" s="7">
        <v>45983</v>
      </c>
      <c r="E278">
        <v>1</v>
      </c>
      <c r="F278">
        <v>429273.71247788722</v>
      </c>
      <c r="G278">
        <v>8672.0400000000009</v>
      </c>
      <c r="H278" t="s">
        <v>57</v>
      </c>
      <c r="I278" t="s">
        <v>69</v>
      </c>
      <c r="J278">
        <v>22</v>
      </c>
      <c r="K278" t="s">
        <v>66</v>
      </c>
    </row>
    <row r="279" spans="1:11" x14ac:dyDescent="0.3">
      <c r="A279" t="s">
        <v>376</v>
      </c>
      <c r="B279" t="s">
        <v>43</v>
      </c>
      <c r="C279" s="7">
        <v>45751</v>
      </c>
      <c r="D279" s="7">
        <v>45764</v>
      </c>
      <c r="E279">
        <v>13</v>
      </c>
      <c r="F279">
        <v>742447.09611459391</v>
      </c>
      <c r="G279">
        <v>6923.78</v>
      </c>
      <c r="H279" t="s">
        <v>76</v>
      </c>
      <c r="I279" t="s">
        <v>69</v>
      </c>
      <c r="J279">
        <v>54</v>
      </c>
      <c r="K279" t="s">
        <v>89</v>
      </c>
    </row>
    <row r="280" spans="1:11" x14ac:dyDescent="0.3">
      <c r="A280" t="s">
        <v>377</v>
      </c>
      <c r="B280" t="s">
        <v>39</v>
      </c>
      <c r="C280" s="7">
        <v>45438</v>
      </c>
      <c r="D280" s="7">
        <v>45445</v>
      </c>
      <c r="E280">
        <v>7</v>
      </c>
      <c r="F280">
        <v>207124.30268335322</v>
      </c>
      <c r="G280">
        <v>1355.48</v>
      </c>
      <c r="H280" t="s">
        <v>65</v>
      </c>
      <c r="I280" t="s">
        <v>58</v>
      </c>
      <c r="J280">
        <v>26</v>
      </c>
      <c r="K280" t="s">
        <v>77</v>
      </c>
    </row>
    <row r="281" spans="1:11" x14ac:dyDescent="0.3">
      <c r="A281" t="s">
        <v>378</v>
      </c>
      <c r="B281" t="s">
        <v>52</v>
      </c>
      <c r="C281" s="7">
        <v>45941</v>
      </c>
      <c r="D281" s="7">
        <v>45951</v>
      </c>
      <c r="E281">
        <v>10</v>
      </c>
      <c r="F281">
        <v>405235.82763980178</v>
      </c>
      <c r="G281">
        <v>6713.18</v>
      </c>
      <c r="H281" t="s">
        <v>68</v>
      </c>
      <c r="I281" t="s">
        <v>69</v>
      </c>
      <c r="J281">
        <v>53</v>
      </c>
      <c r="K281" t="s">
        <v>66</v>
      </c>
    </row>
    <row r="282" spans="1:11" x14ac:dyDescent="0.3">
      <c r="A282" t="s">
        <v>380</v>
      </c>
      <c r="B282" t="s">
        <v>45</v>
      </c>
      <c r="C282" s="7">
        <v>45475</v>
      </c>
      <c r="D282" s="7">
        <v>45483</v>
      </c>
      <c r="E282">
        <v>8</v>
      </c>
      <c r="F282">
        <v>353874.42729546473</v>
      </c>
      <c r="G282">
        <v>14286.96</v>
      </c>
      <c r="H282" t="s">
        <v>91</v>
      </c>
      <c r="I282" t="s">
        <v>69</v>
      </c>
      <c r="J282">
        <v>8</v>
      </c>
      <c r="K282" t="s">
        <v>59</v>
      </c>
    </row>
    <row r="283" spans="1:11" x14ac:dyDescent="0.3">
      <c r="A283" t="s">
        <v>381</v>
      </c>
      <c r="B283" t="s">
        <v>47</v>
      </c>
      <c r="C283" s="7">
        <v>45949</v>
      </c>
      <c r="D283" s="7">
        <v>45951</v>
      </c>
      <c r="E283">
        <v>2</v>
      </c>
      <c r="F283">
        <v>114978.01888744971</v>
      </c>
      <c r="G283">
        <v>4712.88</v>
      </c>
      <c r="H283" t="s">
        <v>61</v>
      </c>
      <c r="I283" t="s">
        <v>62</v>
      </c>
      <c r="J283">
        <v>19</v>
      </c>
      <c r="K283" t="s">
        <v>89</v>
      </c>
    </row>
    <row r="284" spans="1:11" x14ac:dyDescent="0.3">
      <c r="A284" t="s">
        <v>382</v>
      </c>
      <c r="B284" t="s">
        <v>50</v>
      </c>
      <c r="C284" s="7">
        <v>45959</v>
      </c>
      <c r="D284" s="7">
        <v>45965</v>
      </c>
      <c r="E284">
        <v>6</v>
      </c>
      <c r="F284">
        <v>49372.110714973787</v>
      </c>
      <c r="G284">
        <v>13434.94</v>
      </c>
      <c r="H284" t="s">
        <v>61</v>
      </c>
      <c r="I284" t="s">
        <v>73</v>
      </c>
      <c r="J284">
        <v>12</v>
      </c>
      <c r="K284" t="s">
        <v>89</v>
      </c>
    </row>
    <row r="285" spans="1:11" x14ac:dyDescent="0.3">
      <c r="A285" t="s">
        <v>383</v>
      </c>
      <c r="B285" t="s">
        <v>39</v>
      </c>
      <c r="C285" s="7">
        <v>45616</v>
      </c>
      <c r="D285" s="7">
        <v>45629</v>
      </c>
      <c r="E285">
        <v>13</v>
      </c>
      <c r="F285">
        <v>45603.766088213728</v>
      </c>
      <c r="G285">
        <v>7321.41</v>
      </c>
      <c r="H285" t="s">
        <v>61</v>
      </c>
      <c r="I285" t="s">
        <v>58</v>
      </c>
      <c r="J285">
        <v>29</v>
      </c>
      <c r="K285" t="s">
        <v>70</v>
      </c>
    </row>
    <row r="286" spans="1:11" x14ac:dyDescent="0.3">
      <c r="A286" t="s">
        <v>384</v>
      </c>
      <c r="B286" t="s">
        <v>52</v>
      </c>
      <c r="C286" s="7">
        <v>45728</v>
      </c>
      <c r="D286" s="7">
        <v>45740</v>
      </c>
      <c r="E286">
        <v>12</v>
      </c>
      <c r="F286">
        <v>596426.12363993749</v>
      </c>
      <c r="G286">
        <v>9429.1200000000008</v>
      </c>
      <c r="H286" t="s">
        <v>68</v>
      </c>
      <c r="I286" t="s">
        <v>73</v>
      </c>
      <c r="J286">
        <v>58</v>
      </c>
      <c r="K286" t="s">
        <v>89</v>
      </c>
    </row>
    <row r="287" spans="1:11" x14ac:dyDescent="0.3">
      <c r="A287" t="s">
        <v>385</v>
      </c>
      <c r="B287" t="s">
        <v>46</v>
      </c>
      <c r="C287" s="7">
        <v>45766</v>
      </c>
      <c r="D287" s="7">
        <v>45777</v>
      </c>
      <c r="E287">
        <v>11</v>
      </c>
      <c r="F287">
        <v>266557.18853533681</v>
      </c>
      <c r="G287">
        <v>1510.24</v>
      </c>
      <c r="H287" t="s">
        <v>76</v>
      </c>
      <c r="I287" t="s">
        <v>83</v>
      </c>
      <c r="J287">
        <v>37</v>
      </c>
      <c r="K287" t="s">
        <v>70</v>
      </c>
    </row>
    <row r="288" spans="1:11" x14ac:dyDescent="0.3">
      <c r="A288" t="s">
        <v>386</v>
      </c>
      <c r="B288" t="s">
        <v>48</v>
      </c>
      <c r="C288" s="7">
        <v>45735</v>
      </c>
      <c r="D288" s="7">
        <v>45744</v>
      </c>
      <c r="E288">
        <v>9</v>
      </c>
      <c r="F288">
        <v>517673.88189512386</v>
      </c>
      <c r="G288">
        <v>11412.7</v>
      </c>
      <c r="H288" t="s">
        <v>91</v>
      </c>
      <c r="I288" t="s">
        <v>58</v>
      </c>
      <c r="J288">
        <v>13</v>
      </c>
      <c r="K288" t="s">
        <v>89</v>
      </c>
    </row>
    <row r="289" spans="1:11" x14ac:dyDescent="0.3">
      <c r="A289" t="s">
        <v>387</v>
      </c>
      <c r="B289" t="s">
        <v>39</v>
      </c>
      <c r="C289" s="7">
        <v>45798</v>
      </c>
      <c r="D289" s="7">
        <v>45798</v>
      </c>
      <c r="E289">
        <v>0</v>
      </c>
      <c r="F289">
        <v>264266.20268185227</v>
      </c>
      <c r="G289">
        <v>3245.91</v>
      </c>
      <c r="H289" t="s">
        <v>79</v>
      </c>
      <c r="I289" t="s">
        <v>58</v>
      </c>
      <c r="J289">
        <v>29</v>
      </c>
      <c r="K289" t="s">
        <v>59</v>
      </c>
    </row>
    <row r="290" spans="1:11" x14ac:dyDescent="0.3">
      <c r="A290" t="s">
        <v>388</v>
      </c>
      <c r="B290" t="s">
        <v>44</v>
      </c>
      <c r="C290" s="7">
        <v>45532</v>
      </c>
      <c r="D290" s="7">
        <v>45533</v>
      </c>
      <c r="E290">
        <v>1</v>
      </c>
      <c r="F290">
        <v>517621.79959959135</v>
      </c>
      <c r="G290">
        <v>4423.21</v>
      </c>
      <c r="H290" t="s">
        <v>76</v>
      </c>
      <c r="I290" t="s">
        <v>62</v>
      </c>
      <c r="J290">
        <v>50</v>
      </c>
      <c r="K290" t="s">
        <v>59</v>
      </c>
    </row>
    <row r="291" spans="1:11" x14ac:dyDescent="0.3">
      <c r="A291" t="s">
        <v>389</v>
      </c>
      <c r="B291" t="s">
        <v>42</v>
      </c>
      <c r="C291" s="7">
        <v>45668</v>
      </c>
      <c r="D291" s="7">
        <v>45668</v>
      </c>
      <c r="E291">
        <v>0</v>
      </c>
      <c r="F291">
        <v>586650.53082846536</v>
      </c>
      <c r="G291">
        <v>5014.3</v>
      </c>
      <c r="H291" t="s">
        <v>57</v>
      </c>
      <c r="I291" t="s">
        <v>83</v>
      </c>
      <c r="J291">
        <v>20</v>
      </c>
      <c r="K291" t="s">
        <v>89</v>
      </c>
    </row>
    <row r="292" spans="1:11" x14ac:dyDescent="0.3">
      <c r="A292" t="s">
        <v>390</v>
      </c>
      <c r="B292" t="s">
        <v>43</v>
      </c>
      <c r="C292" s="7">
        <v>45696</v>
      </c>
      <c r="D292" s="7">
        <v>45700</v>
      </c>
      <c r="E292">
        <v>4</v>
      </c>
      <c r="F292">
        <v>359743.84794199927</v>
      </c>
      <c r="G292">
        <v>12450.57</v>
      </c>
      <c r="H292" t="s">
        <v>57</v>
      </c>
      <c r="I292" t="s">
        <v>83</v>
      </c>
      <c r="J292">
        <v>13</v>
      </c>
      <c r="K292" t="s">
        <v>66</v>
      </c>
    </row>
    <row r="293" spans="1:11" x14ac:dyDescent="0.3">
      <c r="A293" t="s">
        <v>391</v>
      </c>
      <c r="B293" t="s">
        <v>45</v>
      </c>
      <c r="C293" s="7">
        <v>45953</v>
      </c>
      <c r="D293" s="7">
        <v>45956</v>
      </c>
      <c r="E293">
        <v>3</v>
      </c>
      <c r="F293">
        <v>870812.1704037328</v>
      </c>
      <c r="G293">
        <v>475.62</v>
      </c>
      <c r="H293" t="s">
        <v>91</v>
      </c>
      <c r="I293" t="s">
        <v>58</v>
      </c>
      <c r="J293">
        <v>44</v>
      </c>
      <c r="K293" t="s">
        <v>59</v>
      </c>
    </row>
    <row r="294" spans="1:11" x14ac:dyDescent="0.3">
      <c r="A294" t="s">
        <v>392</v>
      </c>
      <c r="B294" t="s">
        <v>50</v>
      </c>
      <c r="C294" s="7">
        <v>45684</v>
      </c>
      <c r="D294" s="7">
        <v>45688</v>
      </c>
      <c r="E294">
        <v>4</v>
      </c>
      <c r="F294">
        <v>542752.77749391377</v>
      </c>
      <c r="G294">
        <v>6800.54</v>
      </c>
      <c r="H294" t="s">
        <v>79</v>
      </c>
      <c r="I294" t="s">
        <v>58</v>
      </c>
      <c r="J294">
        <v>14</v>
      </c>
      <c r="K294" t="s">
        <v>66</v>
      </c>
    </row>
    <row r="295" spans="1:11" x14ac:dyDescent="0.3">
      <c r="A295" t="s">
        <v>393</v>
      </c>
      <c r="B295" t="s">
        <v>46</v>
      </c>
      <c r="C295" s="7">
        <v>45628</v>
      </c>
      <c r="D295" s="7">
        <v>45636</v>
      </c>
      <c r="E295">
        <v>8</v>
      </c>
      <c r="F295">
        <v>907728.35553714726</v>
      </c>
      <c r="G295">
        <v>14428.01</v>
      </c>
      <c r="H295" t="s">
        <v>91</v>
      </c>
      <c r="I295" t="s">
        <v>69</v>
      </c>
      <c r="J295">
        <v>3</v>
      </c>
      <c r="K295" t="s">
        <v>59</v>
      </c>
    </row>
    <row r="296" spans="1:11" x14ac:dyDescent="0.3">
      <c r="A296" t="s">
        <v>395</v>
      </c>
      <c r="B296" t="s">
        <v>39</v>
      </c>
      <c r="C296" s="7">
        <v>45621</v>
      </c>
      <c r="D296" s="7">
        <v>45634</v>
      </c>
      <c r="E296">
        <v>13</v>
      </c>
      <c r="F296">
        <v>135780.44990306499</v>
      </c>
      <c r="G296">
        <v>8435.89</v>
      </c>
      <c r="H296" t="s">
        <v>61</v>
      </c>
      <c r="I296" t="s">
        <v>69</v>
      </c>
      <c r="J296">
        <v>14</v>
      </c>
      <c r="K296" t="s">
        <v>77</v>
      </c>
    </row>
    <row r="297" spans="1:11" x14ac:dyDescent="0.3">
      <c r="A297" t="s">
        <v>396</v>
      </c>
      <c r="B297" t="s">
        <v>41</v>
      </c>
      <c r="C297" s="7">
        <v>45860</v>
      </c>
      <c r="D297" s="7">
        <v>45860</v>
      </c>
      <c r="E297">
        <v>0</v>
      </c>
      <c r="F297">
        <v>871080.83883068711</v>
      </c>
      <c r="G297">
        <v>2179.14</v>
      </c>
      <c r="H297" t="s">
        <v>57</v>
      </c>
      <c r="I297" t="s">
        <v>58</v>
      </c>
      <c r="J297">
        <v>31</v>
      </c>
      <c r="K297" t="s">
        <v>59</v>
      </c>
    </row>
    <row r="298" spans="1:11" x14ac:dyDescent="0.3">
      <c r="A298" t="s">
        <v>397</v>
      </c>
      <c r="B298" t="s">
        <v>48</v>
      </c>
      <c r="C298" s="7">
        <v>45934</v>
      </c>
      <c r="D298" s="7">
        <v>45948</v>
      </c>
      <c r="E298">
        <v>14</v>
      </c>
      <c r="F298">
        <v>664526.90079840936</v>
      </c>
      <c r="G298">
        <v>7436.86</v>
      </c>
      <c r="H298" t="s">
        <v>68</v>
      </c>
      <c r="I298" t="s">
        <v>58</v>
      </c>
      <c r="J298">
        <v>6</v>
      </c>
      <c r="K298" t="s">
        <v>59</v>
      </c>
    </row>
    <row r="299" spans="1:11" x14ac:dyDescent="0.3">
      <c r="A299" t="s">
        <v>398</v>
      </c>
      <c r="B299" t="s">
        <v>52</v>
      </c>
      <c r="C299" s="7">
        <v>45754</v>
      </c>
      <c r="D299" s="7">
        <v>45761</v>
      </c>
      <c r="E299">
        <v>7</v>
      </c>
      <c r="F299">
        <v>354965.61490186513</v>
      </c>
      <c r="G299">
        <v>3056.26</v>
      </c>
      <c r="H299" t="s">
        <v>57</v>
      </c>
      <c r="I299" t="s">
        <v>73</v>
      </c>
      <c r="J299">
        <v>48</v>
      </c>
      <c r="K299" t="s">
        <v>59</v>
      </c>
    </row>
    <row r="300" spans="1:11" x14ac:dyDescent="0.3">
      <c r="A300" t="s">
        <v>399</v>
      </c>
      <c r="B300" t="s">
        <v>48</v>
      </c>
      <c r="C300" s="7">
        <v>45834</v>
      </c>
      <c r="D300" s="7">
        <v>45835</v>
      </c>
      <c r="E300">
        <v>1</v>
      </c>
      <c r="F300">
        <v>778274.63424139004</v>
      </c>
      <c r="G300">
        <v>9453.5</v>
      </c>
      <c r="H300" t="s">
        <v>79</v>
      </c>
      <c r="I300" t="s">
        <v>73</v>
      </c>
      <c r="J300">
        <v>15</v>
      </c>
      <c r="K300" t="s">
        <v>89</v>
      </c>
    </row>
    <row r="301" spans="1:11" x14ac:dyDescent="0.3">
      <c r="A301" t="s">
        <v>402</v>
      </c>
      <c r="B301" t="s">
        <v>49</v>
      </c>
      <c r="C301" s="7">
        <v>45592</v>
      </c>
      <c r="D301" s="7">
        <v>45606</v>
      </c>
      <c r="E301">
        <v>14</v>
      </c>
      <c r="F301">
        <v>544326.67905890814</v>
      </c>
      <c r="G301">
        <v>3573.88</v>
      </c>
      <c r="H301" t="s">
        <v>91</v>
      </c>
      <c r="I301" t="s">
        <v>62</v>
      </c>
      <c r="J301">
        <v>13</v>
      </c>
      <c r="K301" t="s">
        <v>59</v>
      </c>
    </row>
    <row r="302" spans="1:11" x14ac:dyDescent="0.3">
      <c r="A302" t="s">
        <v>403</v>
      </c>
      <c r="B302" t="s">
        <v>48</v>
      </c>
      <c r="C302" s="7">
        <v>45552</v>
      </c>
      <c r="D302" s="7">
        <v>45558</v>
      </c>
      <c r="E302">
        <v>6</v>
      </c>
      <c r="F302">
        <v>611805.00927077211</v>
      </c>
      <c r="G302">
        <v>14157.5</v>
      </c>
      <c r="H302" t="s">
        <v>57</v>
      </c>
      <c r="I302" t="s">
        <v>62</v>
      </c>
      <c r="J302">
        <v>28</v>
      </c>
      <c r="K302" t="s">
        <v>89</v>
      </c>
    </row>
    <row r="303" spans="1:11" x14ac:dyDescent="0.3">
      <c r="A303" t="s">
        <v>404</v>
      </c>
      <c r="B303" t="s">
        <v>46</v>
      </c>
      <c r="C303" s="7">
        <v>45520</v>
      </c>
      <c r="D303" s="7">
        <v>45526</v>
      </c>
      <c r="E303">
        <v>6</v>
      </c>
      <c r="F303">
        <v>187965.63972673929</v>
      </c>
      <c r="G303">
        <v>1410.77</v>
      </c>
      <c r="H303" t="s">
        <v>91</v>
      </c>
      <c r="I303" t="s">
        <v>83</v>
      </c>
      <c r="J303">
        <v>48</v>
      </c>
      <c r="K303" t="s">
        <v>66</v>
      </c>
    </row>
    <row r="304" spans="1:11" x14ac:dyDescent="0.3">
      <c r="A304" t="s">
        <v>405</v>
      </c>
      <c r="B304" t="s">
        <v>39</v>
      </c>
      <c r="C304" s="7">
        <v>45557</v>
      </c>
      <c r="D304" s="7">
        <v>45562</v>
      </c>
      <c r="E304">
        <v>5</v>
      </c>
      <c r="F304">
        <v>298301.3476623958</v>
      </c>
      <c r="G304">
        <v>9464.7199999999993</v>
      </c>
      <c r="H304" t="s">
        <v>57</v>
      </c>
      <c r="I304" t="s">
        <v>83</v>
      </c>
      <c r="J304">
        <v>31</v>
      </c>
      <c r="K304" t="s">
        <v>89</v>
      </c>
    </row>
    <row r="305" spans="1:11" x14ac:dyDescent="0.3">
      <c r="A305" t="s">
        <v>406</v>
      </c>
      <c r="B305" t="s">
        <v>47</v>
      </c>
      <c r="C305" s="7">
        <v>45863</v>
      </c>
      <c r="D305" s="7">
        <v>45866</v>
      </c>
      <c r="E305">
        <v>3</v>
      </c>
      <c r="F305">
        <v>105575.89424394237</v>
      </c>
      <c r="G305">
        <v>3727.72</v>
      </c>
      <c r="H305" t="s">
        <v>61</v>
      </c>
      <c r="I305" t="s">
        <v>83</v>
      </c>
      <c r="J305">
        <v>53</v>
      </c>
      <c r="K305" t="s">
        <v>70</v>
      </c>
    </row>
    <row r="306" spans="1:11" x14ac:dyDescent="0.3">
      <c r="A306" t="s">
        <v>407</v>
      </c>
      <c r="B306" t="s">
        <v>43</v>
      </c>
      <c r="C306" s="7">
        <v>45759</v>
      </c>
      <c r="D306" s="7">
        <v>45759</v>
      </c>
      <c r="E306">
        <v>0</v>
      </c>
      <c r="F306">
        <v>875921.31656548206</v>
      </c>
      <c r="G306">
        <v>6740.39</v>
      </c>
      <c r="H306" t="s">
        <v>61</v>
      </c>
      <c r="I306" t="s">
        <v>58</v>
      </c>
      <c r="J306">
        <v>41</v>
      </c>
      <c r="K306" t="s">
        <v>89</v>
      </c>
    </row>
    <row r="307" spans="1:11" x14ac:dyDescent="0.3">
      <c r="A307" t="s">
        <v>408</v>
      </c>
      <c r="B307" t="s">
        <v>43</v>
      </c>
      <c r="C307" s="7">
        <v>45644</v>
      </c>
      <c r="D307" s="7">
        <v>45651</v>
      </c>
      <c r="E307">
        <v>7</v>
      </c>
      <c r="F307">
        <v>494294.64755054086</v>
      </c>
      <c r="G307">
        <v>8899.64</v>
      </c>
      <c r="H307" t="s">
        <v>57</v>
      </c>
      <c r="I307" t="s">
        <v>83</v>
      </c>
      <c r="J307">
        <v>1</v>
      </c>
      <c r="K307" t="s">
        <v>77</v>
      </c>
    </row>
    <row r="308" spans="1:11" x14ac:dyDescent="0.3">
      <c r="A308" t="s">
        <v>409</v>
      </c>
      <c r="B308" t="s">
        <v>47</v>
      </c>
      <c r="C308" s="7">
        <v>45530</v>
      </c>
      <c r="D308" s="7">
        <v>45540</v>
      </c>
      <c r="E308">
        <v>10</v>
      </c>
      <c r="F308">
        <v>486399.73372774839</v>
      </c>
      <c r="G308">
        <v>5459.79</v>
      </c>
      <c r="H308" t="s">
        <v>68</v>
      </c>
      <c r="I308" t="s">
        <v>58</v>
      </c>
      <c r="J308">
        <v>29</v>
      </c>
      <c r="K308" t="s">
        <v>66</v>
      </c>
    </row>
    <row r="309" spans="1:11" x14ac:dyDescent="0.3">
      <c r="A309" t="s">
        <v>410</v>
      </c>
      <c r="B309" t="s">
        <v>40</v>
      </c>
      <c r="C309" s="7">
        <v>45423</v>
      </c>
      <c r="D309" s="7">
        <v>45427</v>
      </c>
      <c r="E309">
        <v>4</v>
      </c>
      <c r="F309">
        <v>558208.51626815612</v>
      </c>
      <c r="G309">
        <v>7794.26</v>
      </c>
      <c r="H309" t="s">
        <v>65</v>
      </c>
      <c r="I309" t="s">
        <v>62</v>
      </c>
      <c r="J309">
        <v>20</v>
      </c>
      <c r="K309" t="s">
        <v>77</v>
      </c>
    </row>
    <row r="310" spans="1:11" x14ac:dyDescent="0.3">
      <c r="A310" t="s">
        <v>413</v>
      </c>
      <c r="B310" t="s">
        <v>44</v>
      </c>
      <c r="C310" s="7">
        <v>45556</v>
      </c>
      <c r="D310" s="7">
        <v>45563</v>
      </c>
      <c r="E310">
        <v>7</v>
      </c>
      <c r="F310">
        <v>835081.17506865552</v>
      </c>
      <c r="G310">
        <v>13676.04</v>
      </c>
      <c r="H310" t="s">
        <v>68</v>
      </c>
      <c r="I310" t="s">
        <v>73</v>
      </c>
      <c r="J310">
        <v>59</v>
      </c>
      <c r="K310" t="s">
        <v>59</v>
      </c>
    </row>
    <row r="311" spans="1:11" x14ac:dyDescent="0.3">
      <c r="A311" t="s">
        <v>415</v>
      </c>
      <c r="B311" t="s">
        <v>44</v>
      </c>
      <c r="C311" s="7">
        <v>45384</v>
      </c>
      <c r="D311" s="7">
        <v>45389</v>
      </c>
      <c r="E311">
        <v>5</v>
      </c>
      <c r="F311">
        <v>12568.98227186158</v>
      </c>
      <c r="G311">
        <v>5496.72</v>
      </c>
      <c r="H311" t="s">
        <v>91</v>
      </c>
      <c r="I311" t="s">
        <v>83</v>
      </c>
      <c r="J311">
        <v>10</v>
      </c>
      <c r="K311" t="s">
        <v>70</v>
      </c>
    </row>
    <row r="312" spans="1:11" x14ac:dyDescent="0.3">
      <c r="A312" t="s">
        <v>416</v>
      </c>
      <c r="B312" t="s">
        <v>41</v>
      </c>
      <c r="C312" s="7">
        <v>45983</v>
      </c>
      <c r="D312" s="7">
        <v>45983</v>
      </c>
      <c r="E312">
        <v>0</v>
      </c>
      <c r="F312">
        <v>929279.62833852868</v>
      </c>
      <c r="G312">
        <v>3147.02</v>
      </c>
      <c r="H312" t="s">
        <v>61</v>
      </c>
      <c r="I312" t="s">
        <v>73</v>
      </c>
      <c r="J312">
        <v>15</v>
      </c>
      <c r="K312" t="s">
        <v>70</v>
      </c>
    </row>
    <row r="313" spans="1:11" x14ac:dyDescent="0.3">
      <c r="A313" t="s">
        <v>417</v>
      </c>
      <c r="B313" t="s">
        <v>43</v>
      </c>
      <c r="C313" s="7">
        <v>45725</v>
      </c>
      <c r="D313" s="7">
        <v>45728</v>
      </c>
      <c r="E313">
        <v>3</v>
      </c>
      <c r="F313">
        <v>23583.752627039888</v>
      </c>
      <c r="G313">
        <v>12674.65</v>
      </c>
      <c r="H313" t="s">
        <v>57</v>
      </c>
      <c r="I313" t="s">
        <v>83</v>
      </c>
      <c r="J313">
        <v>54</v>
      </c>
      <c r="K313" t="s">
        <v>66</v>
      </c>
    </row>
    <row r="314" spans="1:11" x14ac:dyDescent="0.3">
      <c r="A314" t="s">
        <v>418</v>
      </c>
      <c r="B314" t="s">
        <v>48</v>
      </c>
      <c r="C314" s="7">
        <v>45548</v>
      </c>
      <c r="D314" s="7">
        <v>45552</v>
      </c>
      <c r="E314">
        <v>4</v>
      </c>
      <c r="F314">
        <v>436363.25616976246</v>
      </c>
      <c r="G314">
        <v>5670.68</v>
      </c>
      <c r="H314" t="s">
        <v>61</v>
      </c>
      <c r="I314" t="s">
        <v>73</v>
      </c>
      <c r="J314">
        <v>34</v>
      </c>
      <c r="K314" t="s">
        <v>77</v>
      </c>
    </row>
    <row r="315" spans="1:11" x14ac:dyDescent="0.3">
      <c r="A315" t="s">
        <v>419</v>
      </c>
      <c r="B315" t="s">
        <v>53</v>
      </c>
      <c r="C315" s="7">
        <v>45750</v>
      </c>
      <c r="D315" s="7">
        <v>45752</v>
      </c>
      <c r="E315">
        <v>2</v>
      </c>
      <c r="F315">
        <v>841364.71347966802</v>
      </c>
      <c r="G315">
        <v>2135.7600000000002</v>
      </c>
      <c r="H315" t="s">
        <v>76</v>
      </c>
      <c r="I315" t="s">
        <v>73</v>
      </c>
      <c r="J315">
        <v>35</v>
      </c>
      <c r="K315" t="s">
        <v>89</v>
      </c>
    </row>
    <row r="316" spans="1:11" x14ac:dyDescent="0.3">
      <c r="A316" t="s">
        <v>420</v>
      </c>
      <c r="B316" t="s">
        <v>50</v>
      </c>
      <c r="C316" s="7">
        <v>45615</v>
      </c>
      <c r="D316" s="7">
        <v>45615</v>
      </c>
      <c r="E316">
        <v>0</v>
      </c>
      <c r="F316">
        <v>600877.88960807526</v>
      </c>
      <c r="G316">
        <v>4345.08</v>
      </c>
      <c r="H316" t="s">
        <v>76</v>
      </c>
      <c r="I316" t="s">
        <v>58</v>
      </c>
      <c r="J316">
        <v>38</v>
      </c>
      <c r="K316" t="s">
        <v>89</v>
      </c>
    </row>
    <row r="317" spans="1:11" x14ac:dyDescent="0.3">
      <c r="A317" t="s">
        <v>421</v>
      </c>
      <c r="B317" t="s">
        <v>49</v>
      </c>
      <c r="C317" s="7">
        <v>45829</v>
      </c>
      <c r="D317" s="7">
        <v>45841</v>
      </c>
      <c r="E317">
        <v>12</v>
      </c>
      <c r="F317">
        <v>633203.84608522896</v>
      </c>
      <c r="G317">
        <v>1160.1199999999999</v>
      </c>
      <c r="H317" t="s">
        <v>91</v>
      </c>
      <c r="I317" t="s">
        <v>69</v>
      </c>
      <c r="J317">
        <v>49</v>
      </c>
      <c r="K317" t="s">
        <v>77</v>
      </c>
    </row>
    <row r="318" spans="1:11" x14ac:dyDescent="0.3">
      <c r="A318" t="s">
        <v>422</v>
      </c>
      <c r="B318" t="s">
        <v>45</v>
      </c>
      <c r="C318" s="7">
        <v>45733</v>
      </c>
      <c r="D318" s="7">
        <v>45738</v>
      </c>
      <c r="E318">
        <v>5</v>
      </c>
      <c r="F318">
        <v>679717.14689542493</v>
      </c>
      <c r="G318">
        <v>7977.04</v>
      </c>
      <c r="H318" t="s">
        <v>68</v>
      </c>
      <c r="I318" t="s">
        <v>69</v>
      </c>
      <c r="J318">
        <v>31</v>
      </c>
      <c r="K318" t="s">
        <v>70</v>
      </c>
    </row>
    <row r="319" spans="1:11" x14ac:dyDescent="0.3">
      <c r="A319" t="s">
        <v>423</v>
      </c>
      <c r="B319" t="s">
        <v>48</v>
      </c>
      <c r="C319" s="7">
        <v>45623</v>
      </c>
      <c r="D319" s="7">
        <v>45626</v>
      </c>
      <c r="E319">
        <v>3</v>
      </c>
      <c r="F319">
        <v>211626.88064713244</v>
      </c>
      <c r="G319">
        <v>3204.41</v>
      </c>
      <c r="H319" t="s">
        <v>79</v>
      </c>
      <c r="I319" t="s">
        <v>73</v>
      </c>
      <c r="J319">
        <v>26</v>
      </c>
      <c r="K319" t="s">
        <v>66</v>
      </c>
    </row>
    <row r="320" spans="1:11" x14ac:dyDescent="0.3">
      <c r="A320" t="s">
        <v>424</v>
      </c>
      <c r="B320" t="s">
        <v>44</v>
      </c>
      <c r="C320" s="7">
        <v>45652</v>
      </c>
      <c r="D320" s="7">
        <v>45666</v>
      </c>
      <c r="E320">
        <v>14</v>
      </c>
      <c r="F320">
        <v>803105.82136142789</v>
      </c>
      <c r="G320">
        <v>3967.03</v>
      </c>
      <c r="H320" t="s">
        <v>57</v>
      </c>
      <c r="I320" t="s">
        <v>73</v>
      </c>
      <c r="J320">
        <v>49</v>
      </c>
      <c r="K320" t="s">
        <v>59</v>
      </c>
    </row>
    <row r="321" spans="1:11" x14ac:dyDescent="0.3">
      <c r="A321" t="s">
        <v>425</v>
      </c>
      <c r="B321" t="s">
        <v>45</v>
      </c>
      <c r="C321" s="7">
        <v>45782</v>
      </c>
      <c r="D321" s="7">
        <v>45791</v>
      </c>
      <c r="E321">
        <v>9</v>
      </c>
      <c r="F321">
        <v>42243.187726476419</v>
      </c>
      <c r="G321">
        <v>7781.48</v>
      </c>
      <c r="H321" t="s">
        <v>61</v>
      </c>
      <c r="I321" t="s">
        <v>69</v>
      </c>
      <c r="J321">
        <v>29</v>
      </c>
      <c r="K321" t="s">
        <v>89</v>
      </c>
    </row>
    <row r="322" spans="1:11" x14ac:dyDescent="0.3">
      <c r="A322" t="s">
        <v>426</v>
      </c>
      <c r="B322" t="s">
        <v>44</v>
      </c>
      <c r="C322" s="7">
        <v>45978</v>
      </c>
      <c r="D322" s="7">
        <v>45983</v>
      </c>
      <c r="E322">
        <v>5</v>
      </c>
      <c r="F322">
        <v>262421.0920901217</v>
      </c>
      <c r="G322">
        <v>565.83000000000004</v>
      </c>
      <c r="H322" t="s">
        <v>68</v>
      </c>
      <c r="I322" t="s">
        <v>73</v>
      </c>
      <c r="J322">
        <v>17</v>
      </c>
      <c r="K322" t="s">
        <v>59</v>
      </c>
    </row>
    <row r="323" spans="1:11" x14ac:dyDescent="0.3">
      <c r="A323" t="s">
        <v>427</v>
      </c>
      <c r="B323" t="s">
        <v>53</v>
      </c>
      <c r="C323" s="7">
        <v>45845</v>
      </c>
      <c r="D323" s="7">
        <v>45853</v>
      </c>
      <c r="E323">
        <v>8</v>
      </c>
      <c r="F323">
        <v>522248.86695269216</v>
      </c>
      <c r="G323">
        <v>1356.75</v>
      </c>
      <c r="H323" t="s">
        <v>61</v>
      </c>
      <c r="I323" t="s">
        <v>73</v>
      </c>
      <c r="J323">
        <v>7</v>
      </c>
      <c r="K323" t="s">
        <v>59</v>
      </c>
    </row>
    <row r="324" spans="1:11" x14ac:dyDescent="0.3">
      <c r="A324" t="s">
        <v>428</v>
      </c>
      <c r="B324" t="s">
        <v>43</v>
      </c>
      <c r="C324" s="7">
        <v>45514</v>
      </c>
      <c r="D324" s="7">
        <v>45519</v>
      </c>
      <c r="E324">
        <v>5</v>
      </c>
      <c r="F324">
        <v>189900.94161073357</v>
      </c>
      <c r="G324">
        <v>5072.7700000000004</v>
      </c>
      <c r="H324" t="s">
        <v>61</v>
      </c>
      <c r="I324" t="s">
        <v>62</v>
      </c>
      <c r="J324">
        <v>13</v>
      </c>
      <c r="K324" t="s">
        <v>77</v>
      </c>
    </row>
    <row r="325" spans="1:11" x14ac:dyDescent="0.3">
      <c r="A325" t="s">
        <v>430</v>
      </c>
      <c r="B325" t="s">
        <v>41</v>
      </c>
      <c r="C325" s="7">
        <v>45864</v>
      </c>
      <c r="D325" s="7">
        <v>45871</v>
      </c>
      <c r="E325">
        <v>7</v>
      </c>
      <c r="F325">
        <v>225107.30309081275</v>
      </c>
      <c r="G325">
        <v>8887.65</v>
      </c>
      <c r="H325" t="s">
        <v>91</v>
      </c>
      <c r="I325" t="s">
        <v>69</v>
      </c>
      <c r="J325">
        <v>47</v>
      </c>
      <c r="K325" t="s">
        <v>89</v>
      </c>
    </row>
    <row r="326" spans="1:11" x14ac:dyDescent="0.3">
      <c r="A326" t="s">
        <v>431</v>
      </c>
      <c r="B326" t="s">
        <v>50</v>
      </c>
      <c r="C326" s="7">
        <v>45525</v>
      </c>
      <c r="D326" s="7">
        <v>45531</v>
      </c>
      <c r="E326">
        <v>6</v>
      </c>
      <c r="F326">
        <v>734453.09890030068</v>
      </c>
      <c r="G326">
        <v>10529.53</v>
      </c>
      <c r="H326" t="s">
        <v>76</v>
      </c>
      <c r="I326" t="s">
        <v>69</v>
      </c>
      <c r="J326">
        <v>29</v>
      </c>
      <c r="K326" t="s">
        <v>77</v>
      </c>
    </row>
    <row r="327" spans="1:11" x14ac:dyDescent="0.3">
      <c r="A327" t="s">
        <v>432</v>
      </c>
      <c r="B327" t="s">
        <v>43</v>
      </c>
      <c r="C327" s="7">
        <v>45501</v>
      </c>
      <c r="D327" s="7">
        <v>45505</v>
      </c>
      <c r="E327">
        <v>4</v>
      </c>
      <c r="F327">
        <v>898936.60999128304</v>
      </c>
      <c r="G327">
        <v>343.28</v>
      </c>
      <c r="H327" t="s">
        <v>79</v>
      </c>
      <c r="I327" t="s">
        <v>62</v>
      </c>
      <c r="J327">
        <v>22</v>
      </c>
      <c r="K327" t="s">
        <v>66</v>
      </c>
    </row>
    <row r="328" spans="1:11" x14ac:dyDescent="0.3">
      <c r="A328" t="s">
        <v>433</v>
      </c>
      <c r="B328" t="s">
        <v>53</v>
      </c>
      <c r="C328" s="7">
        <v>45694</v>
      </c>
      <c r="D328" s="7">
        <v>45703</v>
      </c>
      <c r="E328">
        <v>9</v>
      </c>
      <c r="F328">
        <v>601239.28992707515</v>
      </c>
      <c r="G328">
        <v>9124.44</v>
      </c>
      <c r="H328" t="s">
        <v>91</v>
      </c>
      <c r="I328" t="s">
        <v>58</v>
      </c>
      <c r="J328">
        <v>56</v>
      </c>
      <c r="K328" t="s">
        <v>89</v>
      </c>
    </row>
    <row r="329" spans="1:11" x14ac:dyDescent="0.3">
      <c r="A329" t="s">
        <v>435</v>
      </c>
      <c r="B329" t="s">
        <v>40</v>
      </c>
      <c r="C329" s="7">
        <v>45910</v>
      </c>
      <c r="D329" s="7">
        <v>45912</v>
      </c>
      <c r="E329">
        <v>2</v>
      </c>
      <c r="F329">
        <v>33617.21631639242</v>
      </c>
      <c r="G329">
        <v>10397.56</v>
      </c>
      <c r="H329" t="s">
        <v>68</v>
      </c>
      <c r="I329" t="s">
        <v>83</v>
      </c>
      <c r="J329">
        <v>12</v>
      </c>
      <c r="K329" t="s">
        <v>66</v>
      </c>
    </row>
    <row r="330" spans="1:11" x14ac:dyDescent="0.3">
      <c r="A330" t="s">
        <v>436</v>
      </c>
      <c r="B330" t="s">
        <v>53</v>
      </c>
      <c r="C330" s="7">
        <v>45693</v>
      </c>
      <c r="D330" s="7">
        <v>45696</v>
      </c>
      <c r="E330">
        <v>3</v>
      </c>
      <c r="F330">
        <v>279594.91146699089</v>
      </c>
      <c r="G330">
        <v>7961.06</v>
      </c>
      <c r="H330" t="s">
        <v>68</v>
      </c>
      <c r="I330" t="s">
        <v>83</v>
      </c>
      <c r="J330">
        <v>24</v>
      </c>
      <c r="K330" t="s">
        <v>77</v>
      </c>
    </row>
    <row r="331" spans="1:11" x14ac:dyDescent="0.3">
      <c r="A331" t="s">
        <v>437</v>
      </c>
      <c r="B331" t="s">
        <v>40</v>
      </c>
      <c r="C331" s="7">
        <v>45891</v>
      </c>
      <c r="D331" s="7">
        <v>45897</v>
      </c>
      <c r="E331">
        <v>6</v>
      </c>
      <c r="F331">
        <v>152288.63213703103</v>
      </c>
      <c r="G331">
        <v>1839.01</v>
      </c>
      <c r="H331" t="s">
        <v>91</v>
      </c>
      <c r="I331" t="s">
        <v>69</v>
      </c>
      <c r="J331">
        <v>31</v>
      </c>
      <c r="K331" t="s">
        <v>59</v>
      </c>
    </row>
    <row r="332" spans="1:11" x14ac:dyDescent="0.3">
      <c r="A332" t="s">
        <v>438</v>
      </c>
      <c r="B332" t="s">
        <v>53</v>
      </c>
      <c r="C332" s="7">
        <v>45597</v>
      </c>
      <c r="D332" s="7">
        <v>45601</v>
      </c>
      <c r="E332">
        <v>4</v>
      </c>
      <c r="F332">
        <v>413571.53552478389</v>
      </c>
      <c r="G332">
        <v>10703.14</v>
      </c>
      <c r="H332" t="s">
        <v>68</v>
      </c>
      <c r="I332" t="s">
        <v>73</v>
      </c>
      <c r="J332">
        <v>39</v>
      </c>
      <c r="K332" t="s">
        <v>77</v>
      </c>
    </row>
    <row r="333" spans="1:11" x14ac:dyDescent="0.3">
      <c r="A333" t="s">
        <v>440</v>
      </c>
      <c r="B333" t="s">
        <v>46</v>
      </c>
      <c r="C333" s="7">
        <v>45964</v>
      </c>
      <c r="D333" s="7">
        <v>45971</v>
      </c>
      <c r="E333">
        <v>7</v>
      </c>
      <c r="F333">
        <v>442528.02154096309</v>
      </c>
      <c r="G333">
        <v>778.45</v>
      </c>
      <c r="H333" t="s">
        <v>57</v>
      </c>
      <c r="I333" t="s">
        <v>62</v>
      </c>
      <c r="J333">
        <v>42</v>
      </c>
      <c r="K333" t="s">
        <v>89</v>
      </c>
    </row>
    <row r="334" spans="1:11" x14ac:dyDescent="0.3">
      <c r="A334" t="s">
        <v>441</v>
      </c>
      <c r="B334" t="s">
        <v>49</v>
      </c>
      <c r="C334" s="7">
        <v>45956</v>
      </c>
      <c r="D334" s="7">
        <v>45962</v>
      </c>
      <c r="E334">
        <v>6</v>
      </c>
      <c r="F334">
        <v>585275.43119641824</v>
      </c>
      <c r="G334">
        <v>12187.77</v>
      </c>
      <c r="H334" t="s">
        <v>76</v>
      </c>
      <c r="I334" t="s">
        <v>69</v>
      </c>
      <c r="J334">
        <v>16</v>
      </c>
      <c r="K334" t="s">
        <v>66</v>
      </c>
    </row>
    <row r="335" spans="1:11" x14ac:dyDescent="0.3">
      <c r="A335" t="s">
        <v>442</v>
      </c>
      <c r="B335" t="s">
        <v>45</v>
      </c>
      <c r="C335" s="7">
        <v>45682</v>
      </c>
      <c r="D335" s="7">
        <v>45693</v>
      </c>
      <c r="E335">
        <v>11</v>
      </c>
      <c r="F335">
        <v>543104.01541378535</v>
      </c>
      <c r="G335">
        <v>6024.56</v>
      </c>
      <c r="H335" t="s">
        <v>57</v>
      </c>
      <c r="I335" t="s">
        <v>73</v>
      </c>
      <c r="J335">
        <v>57</v>
      </c>
      <c r="K335" t="s">
        <v>66</v>
      </c>
    </row>
    <row r="336" spans="1:11" x14ac:dyDescent="0.3">
      <c r="A336" t="s">
        <v>443</v>
      </c>
      <c r="B336" t="s">
        <v>53</v>
      </c>
      <c r="C336" s="7">
        <v>45912</v>
      </c>
      <c r="D336" s="7">
        <v>45922</v>
      </c>
      <c r="E336">
        <v>10</v>
      </c>
      <c r="F336">
        <v>873244.1595451223</v>
      </c>
      <c r="G336">
        <v>10531.05</v>
      </c>
      <c r="H336" t="s">
        <v>65</v>
      </c>
      <c r="I336" t="s">
        <v>73</v>
      </c>
      <c r="J336">
        <v>59</v>
      </c>
      <c r="K336" t="s">
        <v>89</v>
      </c>
    </row>
    <row r="337" spans="1:11" x14ac:dyDescent="0.3">
      <c r="A337" t="s">
        <v>444</v>
      </c>
      <c r="B337" t="s">
        <v>50</v>
      </c>
      <c r="C337" s="7">
        <v>45916</v>
      </c>
      <c r="D337" s="7">
        <v>45917</v>
      </c>
      <c r="E337">
        <v>1</v>
      </c>
      <c r="F337">
        <v>720462.01590042363</v>
      </c>
      <c r="G337">
        <v>7665.04</v>
      </c>
      <c r="H337" t="s">
        <v>79</v>
      </c>
      <c r="I337" t="s">
        <v>62</v>
      </c>
      <c r="J337">
        <v>27</v>
      </c>
      <c r="K337" t="s">
        <v>89</v>
      </c>
    </row>
    <row r="338" spans="1:11" x14ac:dyDescent="0.3">
      <c r="A338" t="s">
        <v>445</v>
      </c>
      <c r="B338" t="s">
        <v>42</v>
      </c>
      <c r="C338" s="7">
        <v>45444</v>
      </c>
      <c r="D338" s="7">
        <v>45451</v>
      </c>
      <c r="E338">
        <v>7</v>
      </c>
      <c r="F338">
        <v>28545.544001428822</v>
      </c>
      <c r="G338">
        <v>9655.23</v>
      </c>
      <c r="H338" t="s">
        <v>65</v>
      </c>
      <c r="I338" t="s">
        <v>69</v>
      </c>
      <c r="J338">
        <v>25</v>
      </c>
      <c r="K338" t="s">
        <v>70</v>
      </c>
    </row>
    <row r="339" spans="1:11" x14ac:dyDescent="0.3">
      <c r="A339" t="s">
        <v>446</v>
      </c>
      <c r="B339" t="s">
        <v>52</v>
      </c>
      <c r="C339" s="7">
        <v>45433</v>
      </c>
      <c r="D339" s="7">
        <v>45433</v>
      </c>
      <c r="E339">
        <v>0</v>
      </c>
      <c r="F339">
        <v>241138.48771569456</v>
      </c>
      <c r="G339">
        <v>10694.67</v>
      </c>
      <c r="H339" t="s">
        <v>76</v>
      </c>
      <c r="I339" t="s">
        <v>62</v>
      </c>
      <c r="J339">
        <v>43</v>
      </c>
      <c r="K339" t="s">
        <v>89</v>
      </c>
    </row>
    <row r="340" spans="1:11" x14ac:dyDescent="0.3">
      <c r="A340" t="s">
        <v>447</v>
      </c>
      <c r="B340" t="s">
        <v>45</v>
      </c>
      <c r="C340" s="7">
        <v>45886</v>
      </c>
      <c r="D340" s="7">
        <v>45896</v>
      </c>
      <c r="E340">
        <v>10</v>
      </c>
      <c r="F340">
        <v>233245.47934273869</v>
      </c>
      <c r="G340">
        <v>14260.27</v>
      </c>
      <c r="H340" t="s">
        <v>76</v>
      </c>
      <c r="I340" t="s">
        <v>69</v>
      </c>
      <c r="J340">
        <v>53</v>
      </c>
      <c r="K340" t="s">
        <v>70</v>
      </c>
    </row>
    <row r="341" spans="1:11" x14ac:dyDescent="0.3">
      <c r="A341" t="s">
        <v>448</v>
      </c>
      <c r="B341" t="s">
        <v>40</v>
      </c>
      <c r="C341" s="7">
        <v>45413</v>
      </c>
      <c r="D341" s="7">
        <v>45415</v>
      </c>
      <c r="E341">
        <v>2</v>
      </c>
      <c r="F341">
        <v>282480.39766948053</v>
      </c>
      <c r="G341">
        <v>8112.88</v>
      </c>
      <c r="H341" t="s">
        <v>68</v>
      </c>
      <c r="I341" t="s">
        <v>73</v>
      </c>
      <c r="J341">
        <v>5</v>
      </c>
      <c r="K341" t="s">
        <v>59</v>
      </c>
    </row>
    <row r="342" spans="1:11" x14ac:dyDescent="0.3">
      <c r="A342" t="s">
        <v>449</v>
      </c>
      <c r="B342" t="s">
        <v>40</v>
      </c>
      <c r="C342" s="7">
        <v>45698</v>
      </c>
      <c r="D342" s="7">
        <v>45701</v>
      </c>
      <c r="E342">
        <v>3</v>
      </c>
      <c r="F342">
        <v>681545.10843862651</v>
      </c>
      <c r="G342">
        <v>13411.78</v>
      </c>
      <c r="H342" t="s">
        <v>91</v>
      </c>
      <c r="I342" t="s">
        <v>73</v>
      </c>
      <c r="J342">
        <v>29</v>
      </c>
      <c r="K342" t="s">
        <v>59</v>
      </c>
    </row>
    <row r="343" spans="1:11" x14ac:dyDescent="0.3">
      <c r="A343" t="s">
        <v>450</v>
      </c>
      <c r="B343" t="s">
        <v>53</v>
      </c>
      <c r="C343" s="7">
        <v>45482</v>
      </c>
      <c r="D343" s="7">
        <v>45482</v>
      </c>
      <c r="E343">
        <v>0</v>
      </c>
      <c r="F343">
        <v>403584.43778145418</v>
      </c>
      <c r="G343">
        <v>14841.5</v>
      </c>
      <c r="H343" t="s">
        <v>61</v>
      </c>
      <c r="I343" t="s">
        <v>73</v>
      </c>
      <c r="J343">
        <v>44</v>
      </c>
      <c r="K343" t="s">
        <v>59</v>
      </c>
    </row>
    <row r="344" spans="1:11" x14ac:dyDescent="0.3">
      <c r="A344" t="s">
        <v>451</v>
      </c>
      <c r="B344" t="s">
        <v>43</v>
      </c>
      <c r="C344" s="7">
        <v>45464</v>
      </c>
      <c r="D344" s="7">
        <v>45470</v>
      </c>
      <c r="E344">
        <v>6</v>
      </c>
      <c r="F344">
        <v>624173.91930979537</v>
      </c>
      <c r="G344">
        <v>377.32</v>
      </c>
      <c r="H344" t="s">
        <v>76</v>
      </c>
      <c r="I344" t="s">
        <v>69</v>
      </c>
      <c r="J344">
        <v>15</v>
      </c>
      <c r="K344" t="s">
        <v>59</v>
      </c>
    </row>
    <row r="345" spans="1:11" x14ac:dyDescent="0.3">
      <c r="A345" t="s">
        <v>452</v>
      </c>
      <c r="B345" t="s">
        <v>48</v>
      </c>
      <c r="C345" s="7">
        <v>45621</v>
      </c>
      <c r="D345" s="7">
        <v>45622</v>
      </c>
      <c r="E345">
        <v>1</v>
      </c>
      <c r="F345">
        <v>843963.74705672881</v>
      </c>
      <c r="G345">
        <v>6284.23</v>
      </c>
      <c r="H345" t="s">
        <v>79</v>
      </c>
      <c r="I345" t="s">
        <v>58</v>
      </c>
      <c r="J345">
        <v>32</v>
      </c>
      <c r="K345" t="s">
        <v>59</v>
      </c>
    </row>
    <row r="346" spans="1:11" x14ac:dyDescent="0.3">
      <c r="A346" t="s">
        <v>453</v>
      </c>
      <c r="B346" t="s">
        <v>42</v>
      </c>
      <c r="C346" s="7">
        <v>45674</v>
      </c>
      <c r="D346" s="7">
        <v>45684</v>
      </c>
      <c r="E346">
        <v>10</v>
      </c>
      <c r="F346">
        <v>664361.12666262896</v>
      </c>
      <c r="G346">
        <v>10232.93</v>
      </c>
      <c r="H346" t="s">
        <v>79</v>
      </c>
      <c r="I346" t="s">
        <v>73</v>
      </c>
      <c r="J346">
        <v>22</v>
      </c>
      <c r="K346" t="s">
        <v>66</v>
      </c>
    </row>
    <row r="347" spans="1:11" x14ac:dyDescent="0.3">
      <c r="A347" t="s">
        <v>454</v>
      </c>
      <c r="B347" t="s">
        <v>52</v>
      </c>
      <c r="C347" s="7">
        <v>45681</v>
      </c>
      <c r="D347" s="7">
        <v>45686</v>
      </c>
      <c r="E347">
        <v>5</v>
      </c>
      <c r="F347">
        <v>19934.181040091753</v>
      </c>
      <c r="G347">
        <v>13699.13</v>
      </c>
      <c r="H347" t="s">
        <v>68</v>
      </c>
      <c r="I347" t="s">
        <v>69</v>
      </c>
      <c r="J347">
        <v>33</v>
      </c>
      <c r="K347" t="s">
        <v>66</v>
      </c>
    </row>
    <row r="348" spans="1:11" x14ac:dyDescent="0.3">
      <c r="A348" t="s">
        <v>455</v>
      </c>
      <c r="B348" t="s">
        <v>41</v>
      </c>
      <c r="C348" s="7">
        <v>45438</v>
      </c>
      <c r="D348" s="7">
        <v>45442</v>
      </c>
      <c r="E348">
        <v>4</v>
      </c>
      <c r="F348">
        <v>227645.99742304938</v>
      </c>
      <c r="G348">
        <v>6541.77</v>
      </c>
      <c r="H348" t="s">
        <v>76</v>
      </c>
      <c r="I348" t="s">
        <v>58</v>
      </c>
      <c r="J348">
        <v>6</v>
      </c>
      <c r="K348" t="s">
        <v>59</v>
      </c>
    </row>
    <row r="349" spans="1:11" x14ac:dyDescent="0.3">
      <c r="A349" t="s">
        <v>456</v>
      </c>
      <c r="B349" t="s">
        <v>43</v>
      </c>
      <c r="C349" s="7">
        <v>45720</v>
      </c>
      <c r="D349" s="7">
        <v>45722</v>
      </c>
      <c r="E349">
        <v>2</v>
      </c>
      <c r="F349">
        <v>359966.78557287622</v>
      </c>
      <c r="G349">
        <v>9702.18</v>
      </c>
      <c r="H349" t="s">
        <v>76</v>
      </c>
      <c r="I349" t="s">
        <v>58</v>
      </c>
      <c r="J349">
        <v>29</v>
      </c>
      <c r="K349" t="s">
        <v>70</v>
      </c>
    </row>
    <row r="350" spans="1:11" x14ac:dyDescent="0.3">
      <c r="A350" t="s">
        <v>457</v>
      </c>
      <c r="B350" t="s">
        <v>42</v>
      </c>
      <c r="C350" s="7">
        <v>45504</v>
      </c>
      <c r="D350" s="7">
        <v>45512</v>
      </c>
      <c r="E350">
        <v>8</v>
      </c>
      <c r="F350">
        <v>755009.72688700038</v>
      </c>
      <c r="G350">
        <v>6340.42</v>
      </c>
      <c r="H350" t="s">
        <v>79</v>
      </c>
      <c r="I350" t="s">
        <v>62</v>
      </c>
      <c r="J350">
        <v>49</v>
      </c>
      <c r="K350" t="s">
        <v>59</v>
      </c>
    </row>
    <row r="351" spans="1:11" x14ac:dyDescent="0.3">
      <c r="A351" t="s">
        <v>458</v>
      </c>
      <c r="B351" t="s">
        <v>52</v>
      </c>
      <c r="C351" s="7">
        <v>45987</v>
      </c>
      <c r="D351" s="7">
        <v>45990</v>
      </c>
      <c r="E351">
        <v>3</v>
      </c>
      <c r="F351">
        <v>198609.4825137349</v>
      </c>
      <c r="G351">
        <v>1000.29</v>
      </c>
      <c r="H351" t="s">
        <v>65</v>
      </c>
      <c r="I351" t="s">
        <v>73</v>
      </c>
      <c r="J351">
        <v>52</v>
      </c>
      <c r="K351" t="s">
        <v>66</v>
      </c>
    </row>
    <row r="352" spans="1:11" x14ac:dyDescent="0.3">
      <c r="A352" t="s">
        <v>459</v>
      </c>
      <c r="B352" t="s">
        <v>46</v>
      </c>
      <c r="C352" s="7">
        <v>45901</v>
      </c>
      <c r="D352" s="7">
        <v>45911</v>
      </c>
      <c r="E352">
        <v>10</v>
      </c>
      <c r="F352">
        <v>8913.6943354037812</v>
      </c>
      <c r="G352">
        <v>13074.03</v>
      </c>
      <c r="H352" t="s">
        <v>57</v>
      </c>
      <c r="I352" t="s">
        <v>73</v>
      </c>
      <c r="J352">
        <v>4</v>
      </c>
      <c r="K352" t="s">
        <v>66</v>
      </c>
    </row>
    <row r="353" spans="1:11" x14ac:dyDescent="0.3">
      <c r="A353" t="s">
        <v>460</v>
      </c>
      <c r="B353" t="s">
        <v>40</v>
      </c>
      <c r="C353" s="7">
        <v>45934</v>
      </c>
      <c r="D353" s="7">
        <v>45942</v>
      </c>
      <c r="E353">
        <v>8</v>
      </c>
      <c r="F353">
        <v>792460.70827454119</v>
      </c>
      <c r="G353">
        <v>13990.83</v>
      </c>
      <c r="H353" t="s">
        <v>76</v>
      </c>
      <c r="I353" t="s">
        <v>58</v>
      </c>
      <c r="J353">
        <v>6</v>
      </c>
      <c r="K353" t="s">
        <v>89</v>
      </c>
    </row>
    <row r="354" spans="1:11" x14ac:dyDescent="0.3">
      <c r="A354" t="s">
        <v>461</v>
      </c>
      <c r="B354" t="s">
        <v>42</v>
      </c>
      <c r="C354" s="7">
        <v>45577</v>
      </c>
      <c r="D354" s="7">
        <v>45580</v>
      </c>
      <c r="E354">
        <v>3</v>
      </c>
      <c r="F354">
        <v>405800.47594136756</v>
      </c>
      <c r="G354">
        <v>9166.6</v>
      </c>
      <c r="H354" t="s">
        <v>61</v>
      </c>
      <c r="I354" t="s">
        <v>62</v>
      </c>
      <c r="J354">
        <v>37</v>
      </c>
      <c r="K354" t="s">
        <v>89</v>
      </c>
    </row>
    <row r="355" spans="1:11" x14ac:dyDescent="0.3">
      <c r="A355" t="s">
        <v>462</v>
      </c>
      <c r="B355" t="s">
        <v>42</v>
      </c>
      <c r="C355" s="7">
        <v>45875</v>
      </c>
      <c r="D355" s="7">
        <v>45881</v>
      </c>
      <c r="E355">
        <v>6</v>
      </c>
      <c r="F355">
        <v>361837.30216242757</v>
      </c>
      <c r="G355">
        <v>7166.56</v>
      </c>
      <c r="H355" t="s">
        <v>68</v>
      </c>
      <c r="I355" t="s">
        <v>58</v>
      </c>
      <c r="J355">
        <v>40</v>
      </c>
      <c r="K355" t="s">
        <v>89</v>
      </c>
    </row>
    <row r="356" spans="1:11" x14ac:dyDescent="0.3">
      <c r="A356" t="s">
        <v>463</v>
      </c>
      <c r="B356" t="s">
        <v>52</v>
      </c>
      <c r="C356" s="7">
        <v>45895</v>
      </c>
      <c r="D356" s="7">
        <v>45901</v>
      </c>
      <c r="E356">
        <v>6</v>
      </c>
      <c r="F356">
        <v>814130.75411573448</v>
      </c>
      <c r="G356">
        <v>11431.1</v>
      </c>
      <c r="H356" t="s">
        <v>61</v>
      </c>
      <c r="I356" t="s">
        <v>58</v>
      </c>
      <c r="J356">
        <v>35</v>
      </c>
      <c r="K356" t="s">
        <v>66</v>
      </c>
    </row>
    <row r="357" spans="1:11" x14ac:dyDescent="0.3">
      <c r="A357" t="s">
        <v>464</v>
      </c>
      <c r="B357" t="s">
        <v>42</v>
      </c>
      <c r="C357" s="7">
        <v>45801</v>
      </c>
      <c r="D357" s="7">
        <v>45808</v>
      </c>
      <c r="E357">
        <v>7</v>
      </c>
      <c r="F357">
        <v>272112.20995883987</v>
      </c>
      <c r="G357">
        <v>8519.7000000000007</v>
      </c>
      <c r="H357" t="s">
        <v>68</v>
      </c>
      <c r="I357" t="s">
        <v>83</v>
      </c>
      <c r="J357">
        <v>22</v>
      </c>
      <c r="K357" t="s">
        <v>66</v>
      </c>
    </row>
    <row r="358" spans="1:11" x14ac:dyDescent="0.3">
      <c r="A358" t="s">
        <v>465</v>
      </c>
      <c r="B358" t="s">
        <v>41</v>
      </c>
      <c r="C358" s="7">
        <v>45362</v>
      </c>
      <c r="D358" s="7">
        <v>45362</v>
      </c>
      <c r="E358">
        <v>0</v>
      </c>
      <c r="F358">
        <v>821359.39564567816</v>
      </c>
      <c r="G358">
        <v>11009.46</v>
      </c>
      <c r="H358" t="s">
        <v>61</v>
      </c>
      <c r="I358" t="s">
        <v>69</v>
      </c>
      <c r="J358">
        <v>26</v>
      </c>
      <c r="K358" t="s">
        <v>89</v>
      </c>
    </row>
    <row r="359" spans="1:11" x14ac:dyDescent="0.3">
      <c r="A359" t="s">
        <v>466</v>
      </c>
      <c r="B359" t="s">
        <v>49</v>
      </c>
      <c r="C359" s="7">
        <v>45957</v>
      </c>
      <c r="D359" s="7">
        <v>45961</v>
      </c>
      <c r="E359">
        <v>4</v>
      </c>
      <c r="F359">
        <v>611883.13271407073</v>
      </c>
      <c r="G359">
        <v>8906.9699999999993</v>
      </c>
      <c r="H359" t="s">
        <v>68</v>
      </c>
      <c r="I359" t="s">
        <v>83</v>
      </c>
      <c r="J359">
        <v>59</v>
      </c>
      <c r="K359" t="s">
        <v>59</v>
      </c>
    </row>
    <row r="360" spans="1:11" x14ac:dyDescent="0.3">
      <c r="A360" t="s">
        <v>467</v>
      </c>
      <c r="B360" t="s">
        <v>53</v>
      </c>
      <c r="C360" s="7">
        <v>45769</v>
      </c>
      <c r="D360" s="7">
        <v>45781</v>
      </c>
      <c r="E360">
        <v>12</v>
      </c>
      <c r="F360">
        <v>417461.82894108345</v>
      </c>
      <c r="G360">
        <v>3977.82</v>
      </c>
      <c r="H360" t="s">
        <v>79</v>
      </c>
      <c r="I360" t="s">
        <v>62</v>
      </c>
      <c r="J360">
        <v>33</v>
      </c>
      <c r="K360" t="s">
        <v>89</v>
      </c>
    </row>
    <row r="361" spans="1:11" x14ac:dyDescent="0.3">
      <c r="A361" t="s">
        <v>468</v>
      </c>
      <c r="B361" t="s">
        <v>49</v>
      </c>
      <c r="C361" s="7">
        <v>45706</v>
      </c>
      <c r="D361" s="7">
        <v>45720</v>
      </c>
      <c r="E361">
        <v>14</v>
      </c>
      <c r="F361">
        <v>405822.70618946064</v>
      </c>
      <c r="G361">
        <v>3852.52</v>
      </c>
      <c r="H361" t="s">
        <v>68</v>
      </c>
      <c r="I361" t="s">
        <v>83</v>
      </c>
      <c r="J361">
        <v>59</v>
      </c>
      <c r="K361" t="s">
        <v>70</v>
      </c>
    </row>
    <row r="362" spans="1:11" x14ac:dyDescent="0.3">
      <c r="A362" t="s">
        <v>469</v>
      </c>
      <c r="B362" t="s">
        <v>49</v>
      </c>
      <c r="C362" s="7">
        <v>45768</v>
      </c>
      <c r="D362" s="7">
        <v>45772</v>
      </c>
      <c r="E362">
        <v>4</v>
      </c>
      <c r="F362">
        <v>578066.47931478557</v>
      </c>
      <c r="G362">
        <v>14175.13</v>
      </c>
      <c r="H362" t="s">
        <v>76</v>
      </c>
      <c r="I362" t="s">
        <v>62</v>
      </c>
      <c r="J362">
        <v>16</v>
      </c>
      <c r="K362" t="s">
        <v>77</v>
      </c>
    </row>
    <row r="363" spans="1:11" x14ac:dyDescent="0.3">
      <c r="A363" t="s">
        <v>470</v>
      </c>
      <c r="B363" t="s">
        <v>38</v>
      </c>
      <c r="C363" s="7">
        <v>45441</v>
      </c>
      <c r="D363" s="7">
        <v>45451</v>
      </c>
      <c r="E363">
        <v>10</v>
      </c>
      <c r="F363">
        <v>678883.83016690484</v>
      </c>
      <c r="G363">
        <v>5888.35</v>
      </c>
      <c r="H363" t="s">
        <v>65</v>
      </c>
      <c r="I363" t="s">
        <v>58</v>
      </c>
      <c r="J363">
        <v>58</v>
      </c>
      <c r="K363" t="s">
        <v>59</v>
      </c>
    </row>
    <row r="364" spans="1:11" x14ac:dyDescent="0.3">
      <c r="A364" t="s">
        <v>471</v>
      </c>
      <c r="B364" t="s">
        <v>53</v>
      </c>
      <c r="C364" s="7">
        <v>45916</v>
      </c>
      <c r="D364" s="7">
        <v>45920</v>
      </c>
      <c r="E364">
        <v>4</v>
      </c>
      <c r="F364">
        <v>660108.79777738394</v>
      </c>
      <c r="G364">
        <v>7609.57</v>
      </c>
      <c r="H364" t="s">
        <v>91</v>
      </c>
      <c r="I364" t="s">
        <v>69</v>
      </c>
      <c r="J364">
        <v>38</v>
      </c>
      <c r="K364" t="s">
        <v>70</v>
      </c>
    </row>
    <row r="365" spans="1:11" x14ac:dyDescent="0.3">
      <c r="A365" t="s">
        <v>472</v>
      </c>
      <c r="B365" t="s">
        <v>50</v>
      </c>
      <c r="C365" s="7">
        <v>45745</v>
      </c>
      <c r="D365" s="7">
        <v>45746</v>
      </c>
      <c r="E365">
        <v>1</v>
      </c>
      <c r="F365">
        <v>607259.87626064301</v>
      </c>
      <c r="G365">
        <v>11695.03</v>
      </c>
      <c r="H365" t="s">
        <v>61</v>
      </c>
      <c r="I365" t="s">
        <v>73</v>
      </c>
      <c r="J365">
        <v>18</v>
      </c>
      <c r="K365" t="s">
        <v>66</v>
      </c>
    </row>
    <row r="366" spans="1:11" x14ac:dyDescent="0.3">
      <c r="A366" t="s">
        <v>473</v>
      </c>
      <c r="B366" t="s">
        <v>49</v>
      </c>
      <c r="C366" s="7">
        <v>45585</v>
      </c>
      <c r="D366" s="7">
        <v>45598</v>
      </c>
      <c r="E366">
        <v>13</v>
      </c>
      <c r="F366">
        <v>470090.98857667512</v>
      </c>
      <c r="G366">
        <v>1633.69</v>
      </c>
      <c r="H366" t="s">
        <v>79</v>
      </c>
      <c r="I366" t="s">
        <v>69</v>
      </c>
      <c r="J366">
        <v>34</v>
      </c>
      <c r="K366" t="s">
        <v>89</v>
      </c>
    </row>
    <row r="367" spans="1:11" x14ac:dyDescent="0.3">
      <c r="A367" t="s">
        <v>474</v>
      </c>
      <c r="B367" t="s">
        <v>49</v>
      </c>
      <c r="C367" s="7">
        <v>45659</v>
      </c>
      <c r="D367" s="7">
        <v>45664</v>
      </c>
      <c r="E367">
        <v>5</v>
      </c>
      <c r="F367">
        <v>180171.71474528426</v>
      </c>
      <c r="G367">
        <v>2188.11</v>
      </c>
      <c r="H367" t="s">
        <v>68</v>
      </c>
      <c r="I367" t="s">
        <v>73</v>
      </c>
      <c r="J367">
        <v>33</v>
      </c>
      <c r="K367" t="s">
        <v>59</v>
      </c>
    </row>
    <row r="368" spans="1:11" x14ac:dyDescent="0.3">
      <c r="A368" t="s">
        <v>475</v>
      </c>
      <c r="B368" t="s">
        <v>47</v>
      </c>
      <c r="C368" s="7">
        <v>45593</v>
      </c>
      <c r="D368" s="7">
        <v>45593</v>
      </c>
      <c r="E368">
        <v>0</v>
      </c>
      <c r="F368">
        <v>715257.59724684665</v>
      </c>
      <c r="G368">
        <v>12175.84</v>
      </c>
      <c r="H368" t="s">
        <v>76</v>
      </c>
      <c r="I368" t="s">
        <v>62</v>
      </c>
      <c r="J368">
        <v>58</v>
      </c>
      <c r="K368" t="s">
        <v>89</v>
      </c>
    </row>
    <row r="369" spans="1:11" x14ac:dyDescent="0.3">
      <c r="A369" t="s">
        <v>476</v>
      </c>
      <c r="B369" t="s">
        <v>47</v>
      </c>
      <c r="C369" s="7">
        <v>45894</v>
      </c>
      <c r="D369" s="7">
        <v>45904</v>
      </c>
      <c r="E369">
        <v>10</v>
      </c>
      <c r="F369">
        <v>725339.96748200408</v>
      </c>
      <c r="G369">
        <v>340.7</v>
      </c>
      <c r="H369" t="s">
        <v>61</v>
      </c>
      <c r="I369" t="s">
        <v>83</v>
      </c>
      <c r="J369">
        <v>43</v>
      </c>
      <c r="K369" t="s">
        <v>77</v>
      </c>
    </row>
    <row r="370" spans="1:11" x14ac:dyDescent="0.3">
      <c r="A370" t="s">
        <v>477</v>
      </c>
      <c r="B370" t="s">
        <v>39</v>
      </c>
      <c r="C370" s="7">
        <v>45406</v>
      </c>
      <c r="D370" s="7">
        <v>45412</v>
      </c>
      <c r="E370">
        <v>6</v>
      </c>
      <c r="F370">
        <v>575739.2899144066</v>
      </c>
      <c r="G370">
        <v>14806.07</v>
      </c>
      <c r="H370" t="s">
        <v>79</v>
      </c>
      <c r="I370" t="s">
        <v>62</v>
      </c>
      <c r="J370">
        <v>60</v>
      </c>
      <c r="K370" t="s">
        <v>89</v>
      </c>
    </row>
    <row r="371" spans="1:11" x14ac:dyDescent="0.3">
      <c r="A371" t="s">
        <v>478</v>
      </c>
      <c r="B371" t="s">
        <v>50</v>
      </c>
      <c r="C371" s="7">
        <v>45902</v>
      </c>
      <c r="D371" s="7">
        <v>45907</v>
      </c>
      <c r="E371">
        <v>5</v>
      </c>
      <c r="F371">
        <v>355254.60812707595</v>
      </c>
      <c r="G371">
        <v>13374.25</v>
      </c>
      <c r="H371" t="s">
        <v>61</v>
      </c>
      <c r="I371" t="s">
        <v>73</v>
      </c>
      <c r="J371">
        <v>24</v>
      </c>
      <c r="K371" t="s">
        <v>89</v>
      </c>
    </row>
    <row r="372" spans="1:11" x14ac:dyDescent="0.3">
      <c r="A372" t="s">
        <v>479</v>
      </c>
      <c r="B372" t="s">
        <v>47</v>
      </c>
      <c r="C372" s="7">
        <v>45641</v>
      </c>
      <c r="D372" s="7">
        <v>45653</v>
      </c>
      <c r="E372">
        <v>12</v>
      </c>
      <c r="F372">
        <v>98298.981318139238</v>
      </c>
      <c r="G372">
        <v>6962.41</v>
      </c>
      <c r="H372" t="s">
        <v>65</v>
      </c>
      <c r="I372" t="s">
        <v>69</v>
      </c>
      <c r="J372">
        <v>47</v>
      </c>
      <c r="K372" t="s">
        <v>66</v>
      </c>
    </row>
    <row r="373" spans="1:11" x14ac:dyDescent="0.3">
      <c r="A373" t="s">
        <v>480</v>
      </c>
      <c r="B373" t="s">
        <v>47</v>
      </c>
      <c r="C373" s="7">
        <v>45893</v>
      </c>
      <c r="D373" s="7">
        <v>45897</v>
      </c>
      <c r="E373">
        <v>4</v>
      </c>
      <c r="F373">
        <v>906256.07796343579</v>
      </c>
      <c r="G373">
        <v>11321.31</v>
      </c>
      <c r="H373" t="s">
        <v>76</v>
      </c>
      <c r="I373" t="s">
        <v>62</v>
      </c>
      <c r="J373">
        <v>29</v>
      </c>
      <c r="K373" t="s">
        <v>77</v>
      </c>
    </row>
    <row r="374" spans="1:11" x14ac:dyDescent="0.3">
      <c r="A374" t="s">
        <v>481</v>
      </c>
      <c r="B374" t="s">
        <v>46</v>
      </c>
      <c r="C374" s="7">
        <v>45687</v>
      </c>
      <c r="D374" s="7">
        <v>45687</v>
      </c>
      <c r="E374">
        <v>0</v>
      </c>
      <c r="F374">
        <v>939603.355552983</v>
      </c>
      <c r="G374">
        <v>14371.7</v>
      </c>
      <c r="H374" t="s">
        <v>79</v>
      </c>
      <c r="I374" t="s">
        <v>62</v>
      </c>
      <c r="J374">
        <v>2</v>
      </c>
      <c r="K374" t="s">
        <v>70</v>
      </c>
    </row>
    <row r="375" spans="1:11" x14ac:dyDescent="0.3">
      <c r="A375" t="s">
        <v>482</v>
      </c>
      <c r="B375" t="s">
        <v>40</v>
      </c>
      <c r="C375" s="7">
        <v>45619</v>
      </c>
      <c r="D375" s="7">
        <v>45623</v>
      </c>
      <c r="E375">
        <v>4</v>
      </c>
      <c r="F375">
        <v>793536.6522822493</v>
      </c>
      <c r="G375">
        <v>14945.31</v>
      </c>
      <c r="H375" t="s">
        <v>79</v>
      </c>
      <c r="I375" t="s">
        <v>69</v>
      </c>
      <c r="J375">
        <v>11</v>
      </c>
      <c r="K375" t="s">
        <v>89</v>
      </c>
    </row>
    <row r="376" spans="1:11" x14ac:dyDescent="0.3">
      <c r="A376" t="s">
        <v>483</v>
      </c>
      <c r="B376" t="s">
        <v>45</v>
      </c>
      <c r="C376" s="7">
        <v>45860</v>
      </c>
      <c r="D376" s="7">
        <v>45863</v>
      </c>
      <c r="E376">
        <v>3</v>
      </c>
      <c r="F376">
        <v>204139.09793941723</v>
      </c>
      <c r="G376">
        <v>11348.14</v>
      </c>
      <c r="H376" t="s">
        <v>65</v>
      </c>
      <c r="I376" t="s">
        <v>83</v>
      </c>
      <c r="J376">
        <v>7</v>
      </c>
      <c r="K376" t="s">
        <v>89</v>
      </c>
    </row>
    <row r="377" spans="1:11" x14ac:dyDescent="0.3">
      <c r="A377" t="s">
        <v>484</v>
      </c>
      <c r="B377" t="s">
        <v>40</v>
      </c>
      <c r="C377" s="7">
        <v>45743</v>
      </c>
      <c r="D377" s="7">
        <v>45746</v>
      </c>
      <c r="E377">
        <v>3</v>
      </c>
      <c r="F377">
        <v>686068.01120066235</v>
      </c>
      <c r="G377">
        <v>10055.799999999999</v>
      </c>
      <c r="H377" t="s">
        <v>65</v>
      </c>
      <c r="I377" t="s">
        <v>83</v>
      </c>
      <c r="J377">
        <v>43</v>
      </c>
      <c r="K377" t="s">
        <v>66</v>
      </c>
    </row>
    <row r="378" spans="1:11" x14ac:dyDescent="0.3">
      <c r="A378" t="s">
        <v>485</v>
      </c>
      <c r="B378" t="s">
        <v>39</v>
      </c>
      <c r="C378" s="7">
        <v>45866</v>
      </c>
      <c r="D378" s="7">
        <v>45880</v>
      </c>
      <c r="E378">
        <v>14</v>
      </c>
      <c r="F378">
        <v>550089.39451459574</v>
      </c>
      <c r="G378">
        <v>13872.94</v>
      </c>
      <c r="H378" t="s">
        <v>57</v>
      </c>
      <c r="I378" t="s">
        <v>62</v>
      </c>
      <c r="J378">
        <v>25</v>
      </c>
      <c r="K378" t="s">
        <v>89</v>
      </c>
    </row>
    <row r="379" spans="1:11" x14ac:dyDescent="0.3">
      <c r="A379" t="s">
        <v>486</v>
      </c>
      <c r="B379" t="s">
        <v>50</v>
      </c>
      <c r="C379" s="7">
        <v>45655</v>
      </c>
      <c r="D379" s="7">
        <v>45656</v>
      </c>
      <c r="E379">
        <v>1</v>
      </c>
      <c r="F379">
        <v>279472.32752750587</v>
      </c>
      <c r="G379">
        <v>1848.46</v>
      </c>
      <c r="H379" t="s">
        <v>61</v>
      </c>
      <c r="I379" t="s">
        <v>58</v>
      </c>
      <c r="J379">
        <v>60</v>
      </c>
      <c r="K379" t="s">
        <v>66</v>
      </c>
    </row>
    <row r="380" spans="1:11" x14ac:dyDescent="0.3">
      <c r="A380" t="s">
        <v>487</v>
      </c>
      <c r="B380" t="s">
        <v>47</v>
      </c>
      <c r="C380" s="7">
        <v>45768</v>
      </c>
      <c r="D380" s="7">
        <v>45774</v>
      </c>
      <c r="E380">
        <v>6</v>
      </c>
      <c r="F380">
        <v>550986.861387613</v>
      </c>
      <c r="G380">
        <v>224.84</v>
      </c>
      <c r="H380" t="s">
        <v>57</v>
      </c>
      <c r="I380" t="s">
        <v>58</v>
      </c>
      <c r="J380">
        <v>35</v>
      </c>
      <c r="K380" t="s">
        <v>66</v>
      </c>
    </row>
    <row r="381" spans="1:11" x14ac:dyDescent="0.3">
      <c r="A381" t="s">
        <v>488</v>
      </c>
      <c r="B381" t="s">
        <v>44</v>
      </c>
      <c r="C381" s="7">
        <v>45841</v>
      </c>
      <c r="D381" s="7">
        <v>45853</v>
      </c>
      <c r="E381">
        <v>12</v>
      </c>
      <c r="F381">
        <v>648206.7229483166</v>
      </c>
      <c r="G381">
        <v>11989.17</v>
      </c>
      <c r="H381" t="s">
        <v>91</v>
      </c>
      <c r="I381" t="s">
        <v>58</v>
      </c>
      <c r="J381">
        <v>38</v>
      </c>
      <c r="K381" t="s">
        <v>66</v>
      </c>
    </row>
    <row r="382" spans="1:11" x14ac:dyDescent="0.3">
      <c r="A382" t="s">
        <v>489</v>
      </c>
      <c r="B382" t="s">
        <v>44</v>
      </c>
      <c r="C382" s="7">
        <v>45780</v>
      </c>
      <c r="D382" s="7">
        <v>45785</v>
      </c>
      <c r="E382">
        <v>5</v>
      </c>
      <c r="F382">
        <v>140576.46714167367</v>
      </c>
      <c r="G382">
        <v>14154.77</v>
      </c>
      <c r="H382" t="s">
        <v>79</v>
      </c>
      <c r="I382" t="s">
        <v>73</v>
      </c>
      <c r="J382">
        <v>32</v>
      </c>
      <c r="K382" t="s">
        <v>89</v>
      </c>
    </row>
    <row r="383" spans="1:11" x14ac:dyDescent="0.3">
      <c r="A383" t="s">
        <v>491</v>
      </c>
      <c r="B383" t="s">
        <v>52</v>
      </c>
      <c r="C383" s="7">
        <v>45863</v>
      </c>
      <c r="D383" s="7">
        <v>45874</v>
      </c>
      <c r="E383">
        <v>11</v>
      </c>
      <c r="F383">
        <v>701783.52630262158</v>
      </c>
      <c r="G383">
        <v>13862.74</v>
      </c>
      <c r="H383" t="s">
        <v>79</v>
      </c>
      <c r="I383" t="s">
        <v>73</v>
      </c>
      <c r="J383">
        <v>55</v>
      </c>
      <c r="K383" t="s">
        <v>89</v>
      </c>
    </row>
    <row r="384" spans="1:11" x14ac:dyDescent="0.3">
      <c r="A384" t="s">
        <v>492</v>
      </c>
      <c r="B384" t="s">
        <v>42</v>
      </c>
      <c r="C384" s="7">
        <v>45787</v>
      </c>
      <c r="D384" s="7">
        <v>45787</v>
      </c>
      <c r="E384">
        <v>0</v>
      </c>
      <c r="F384">
        <v>523474.70634754247</v>
      </c>
      <c r="G384">
        <v>5193.67</v>
      </c>
      <c r="H384" t="s">
        <v>65</v>
      </c>
      <c r="I384" t="s">
        <v>69</v>
      </c>
      <c r="J384">
        <v>23</v>
      </c>
      <c r="K384" t="s">
        <v>89</v>
      </c>
    </row>
    <row r="385" spans="1:11" x14ac:dyDescent="0.3">
      <c r="A385" t="s">
        <v>493</v>
      </c>
      <c r="B385" t="s">
        <v>39</v>
      </c>
      <c r="C385" s="7">
        <v>45848</v>
      </c>
      <c r="D385" s="7">
        <v>45852</v>
      </c>
      <c r="E385">
        <v>4</v>
      </c>
      <c r="F385">
        <v>664419.5604576167</v>
      </c>
      <c r="G385">
        <v>3087.36</v>
      </c>
      <c r="H385" t="s">
        <v>79</v>
      </c>
      <c r="I385" t="s">
        <v>58</v>
      </c>
      <c r="J385">
        <v>26</v>
      </c>
      <c r="K385" t="s">
        <v>59</v>
      </c>
    </row>
    <row r="386" spans="1:11" x14ac:dyDescent="0.3">
      <c r="A386" t="s">
        <v>494</v>
      </c>
      <c r="B386" t="s">
        <v>43</v>
      </c>
      <c r="C386" s="7">
        <v>45648</v>
      </c>
      <c r="D386" s="7">
        <v>45661</v>
      </c>
      <c r="E386">
        <v>13</v>
      </c>
      <c r="F386">
        <v>890600.90210630093</v>
      </c>
      <c r="G386">
        <v>4700.3</v>
      </c>
      <c r="H386" t="s">
        <v>65</v>
      </c>
      <c r="I386" t="s">
        <v>73</v>
      </c>
      <c r="J386">
        <v>37</v>
      </c>
      <c r="K386" t="s">
        <v>66</v>
      </c>
    </row>
    <row r="387" spans="1:11" x14ac:dyDescent="0.3">
      <c r="A387" t="s">
        <v>495</v>
      </c>
      <c r="B387" t="s">
        <v>49</v>
      </c>
      <c r="C387" s="7">
        <v>45662</v>
      </c>
      <c r="D387" s="7">
        <v>45665</v>
      </c>
      <c r="E387">
        <v>3</v>
      </c>
      <c r="F387">
        <v>210307.03906034539</v>
      </c>
      <c r="G387">
        <v>11276.06</v>
      </c>
      <c r="H387" t="s">
        <v>65</v>
      </c>
      <c r="I387" t="s">
        <v>83</v>
      </c>
      <c r="J387">
        <v>24</v>
      </c>
      <c r="K387" t="s">
        <v>77</v>
      </c>
    </row>
    <row r="388" spans="1:11" x14ac:dyDescent="0.3">
      <c r="A388" t="s">
        <v>496</v>
      </c>
      <c r="B388" t="s">
        <v>48</v>
      </c>
      <c r="C388" s="7">
        <v>45801</v>
      </c>
      <c r="D388" s="7">
        <v>45811</v>
      </c>
      <c r="E388">
        <v>10</v>
      </c>
      <c r="F388">
        <v>802373.4934742453</v>
      </c>
      <c r="G388">
        <v>13904.58</v>
      </c>
      <c r="H388" t="s">
        <v>57</v>
      </c>
      <c r="I388" t="s">
        <v>62</v>
      </c>
      <c r="J388">
        <v>31</v>
      </c>
      <c r="K388" t="s">
        <v>66</v>
      </c>
    </row>
    <row r="389" spans="1:11" x14ac:dyDescent="0.3">
      <c r="A389" t="s">
        <v>497</v>
      </c>
      <c r="B389" t="s">
        <v>39</v>
      </c>
      <c r="C389" s="7">
        <v>45902</v>
      </c>
      <c r="D389" s="7">
        <v>45911</v>
      </c>
      <c r="E389">
        <v>9</v>
      </c>
      <c r="F389">
        <v>415110.50384277478</v>
      </c>
      <c r="G389">
        <v>2398.81</v>
      </c>
      <c r="H389" t="s">
        <v>65</v>
      </c>
      <c r="I389" t="s">
        <v>69</v>
      </c>
      <c r="J389">
        <v>16</v>
      </c>
      <c r="K389" t="s">
        <v>59</v>
      </c>
    </row>
    <row r="390" spans="1:11" x14ac:dyDescent="0.3">
      <c r="A390" t="s">
        <v>498</v>
      </c>
      <c r="B390" t="s">
        <v>41</v>
      </c>
      <c r="C390" s="7">
        <v>45798</v>
      </c>
      <c r="D390" s="7">
        <v>45809</v>
      </c>
      <c r="E390">
        <v>11</v>
      </c>
      <c r="F390">
        <v>569254.40897066472</v>
      </c>
      <c r="G390">
        <v>2752.81</v>
      </c>
      <c r="H390" t="s">
        <v>65</v>
      </c>
      <c r="I390" t="s">
        <v>69</v>
      </c>
      <c r="J390">
        <v>50</v>
      </c>
      <c r="K390" t="s">
        <v>59</v>
      </c>
    </row>
    <row r="391" spans="1:11" x14ac:dyDescent="0.3">
      <c r="A391" t="s">
        <v>499</v>
      </c>
      <c r="B391" t="s">
        <v>52</v>
      </c>
      <c r="C391" s="7">
        <v>45890</v>
      </c>
      <c r="D391" s="7">
        <v>45900</v>
      </c>
      <c r="E391">
        <v>10</v>
      </c>
      <c r="F391">
        <v>623416.8205747375</v>
      </c>
      <c r="G391">
        <v>5636.38</v>
      </c>
      <c r="H391" t="s">
        <v>57</v>
      </c>
      <c r="I391" t="s">
        <v>83</v>
      </c>
      <c r="J391">
        <v>6</v>
      </c>
      <c r="K391" t="s">
        <v>59</v>
      </c>
    </row>
    <row r="392" spans="1:11" x14ac:dyDescent="0.3">
      <c r="A392" t="s">
        <v>500</v>
      </c>
      <c r="B392" t="s">
        <v>48</v>
      </c>
      <c r="C392" s="7">
        <v>45843</v>
      </c>
      <c r="D392" s="7">
        <v>45843</v>
      </c>
      <c r="E392">
        <v>0</v>
      </c>
      <c r="F392">
        <v>560418.83807855973</v>
      </c>
      <c r="G392">
        <v>14812.77</v>
      </c>
      <c r="H392" t="s">
        <v>68</v>
      </c>
      <c r="I392" t="s">
        <v>62</v>
      </c>
      <c r="J392">
        <v>45</v>
      </c>
      <c r="K392" t="s">
        <v>59</v>
      </c>
    </row>
    <row r="393" spans="1:11" x14ac:dyDescent="0.3">
      <c r="A393" t="s">
        <v>502</v>
      </c>
      <c r="B393" t="s">
        <v>50</v>
      </c>
      <c r="C393" s="7">
        <v>45524</v>
      </c>
      <c r="D393" s="7">
        <v>45526</v>
      </c>
      <c r="E393">
        <v>2</v>
      </c>
      <c r="F393">
        <v>821690.30876729335</v>
      </c>
      <c r="G393">
        <v>10489.2</v>
      </c>
      <c r="H393" t="s">
        <v>57</v>
      </c>
      <c r="I393" t="s">
        <v>58</v>
      </c>
      <c r="J393">
        <v>29</v>
      </c>
      <c r="K393" t="s">
        <v>70</v>
      </c>
    </row>
    <row r="394" spans="1:11" x14ac:dyDescent="0.3">
      <c r="A394" t="s">
        <v>503</v>
      </c>
      <c r="B394" t="s">
        <v>38</v>
      </c>
      <c r="C394" s="7">
        <v>45581</v>
      </c>
      <c r="D394" s="7">
        <v>45591</v>
      </c>
      <c r="E394">
        <v>10</v>
      </c>
      <c r="F394">
        <v>156252.60294701075</v>
      </c>
      <c r="G394">
        <v>8524.94</v>
      </c>
      <c r="H394" t="s">
        <v>79</v>
      </c>
      <c r="I394" t="s">
        <v>83</v>
      </c>
      <c r="J394">
        <v>6</v>
      </c>
      <c r="K394" t="s">
        <v>59</v>
      </c>
    </row>
    <row r="395" spans="1:11" x14ac:dyDescent="0.3">
      <c r="A395" t="s">
        <v>504</v>
      </c>
      <c r="B395" t="s">
        <v>43</v>
      </c>
      <c r="C395" s="7">
        <v>45974</v>
      </c>
      <c r="D395" s="7">
        <v>45984</v>
      </c>
      <c r="E395">
        <v>10</v>
      </c>
      <c r="F395">
        <v>3257.0489206178272</v>
      </c>
      <c r="G395">
        <v>4648.88</v>
      </c>
      <c r="H395" t="s">
        <v>91</v>
      </c>
      <c r="I395" t="s">
        <v>62</v>
      </c>
      <c r="J395">
        <v>43</v>
      </c>
      <c r="K395" t="s">
        <v>77</v>
      </c>
    </row>
    <row r="396" spans="1:11" x14ac:dyDescent="0.3">
      <c r="A396" t="s">
        <v>505</v>
      </c>
      <c r="B396" t="s">
        <v>49</v>
      </c>
      <c r="C396" s="7">
        <v>45389</v>
      </c>
      <c r="D396" s="7">
        <v>45392</v>
      </c>
      <c r="E396">
        <v>3</v>
      </c>
      <c r="F396">
        <v>38056.279285619799</v>
      </c>
      <c r="G396">
        <v>2296.6799999999998</v>
      </c>
      <c r="H396" t="s">
        <v>79</v>
      </c>
      <c r="I396" t="s">
        <v>73</v>
      </c>
      <c r="J396">
        <v>9</v>
      </c>
      <c r="K396" t="s">
        <v>77</v>
      </c>
    </row>
    <row r="397" spans="1:11" x14ac:dyDescent="0.3">
      <c r="A397" t="s">
        <v>506</v>
      </c>
      <c r="B397" t="s">
        <v>47</v>
      </c>
      <c r="C397" s="7">
        <v>45583</v>
      </c>
      <c r="D397" s="7">
        <v>45594</v>
      </c>
      <c r="E397">
        <v>11</v>
      </c>
      <c r="F397">
        <v>594092.58274010324</v>
      </c>
      <c r="G397">
        <v>1300.52</v>
      </c>
      <c r="H397" t="s">
        <v>61</v>
      </c>
      <c r="I397" t="s">
        <v>62</v>
      </c>
      <c r="J397">
        <v>25</v>
      </c>
      <c r="K397" t="s">
        <v>66</v>
      </c>
    </row>
    <row r="398" spans="1:11" x14ac:dyDescent="0.3">
      <c r="A398" t="s">
        <v>509</v>
      </c>
      <c r="B398" t="s">
        <v>38</v>
      </c>
      <c r="C398" s="7">
        <v>45652</v>
      </c>
      <c r="D398" s="7">
        <v>45656</v>
      </c>
      <c r="E398">
        <v>4</v>
      </c>
      <c r="F398">
        <v>121509.90092715988</v>
      </c>
      <c r="G398">
        <v>1827.85</v>
      </c>
      <c r="H398" t="s">
        <v>91</v>
      </c>
      <c r="I398" t="s">
        <v>69</v>
      </c>
      <c r="J398">
        <v>5</v>
      </c>
      <c r="K398" t="s">
        <v>70</v>
      </c>
    </row>
    <row r="399" spans="1:11" x14ac:dyDescent="0.3">
      <c r="A399" t="s">
        <v>510</v>
      </c>
      <c r="B399" t="s">
        <v>43</v>
      </c>
      <c r="C399" s="7">
        <v>45747</v>
      </c>
      <c r="D399" s="7">
        <v>45749</v>
      </c>
      <c r="E399">
        <v>2</v>
      </c>
      <c r="F399">
        <v>828196.78480918263</v>
      </c>
      <c r="G399">
        <v>3541.33</v>
      </c>
      <c r="H399" t="s">
        <v>57</v>
      </c>
      <c r="I399" t="s">
        <v>83</v>
      </c>
      <c r="J399">
        <v>25</v>
      </c>
      <c r="K399" t="s">
        <v>66</v>
      </c>
    </row>
    <row r="400" spans="1:11" x14ac:dyDescent="0.3">
      <c r="A400" t="s">
        <v>511</v>
      </c>
      <c r="B400" t="s">
        <v>39</v>
      </c>
      <c r="C400" s="7">
        <v>45867</v>
      </c>
      <c r="D400" s="7">
        <v>45878</v>
      </c>
      <c r="E400">
        <v>11</v>
      </c>
      <c r="F400">
        <v>834517.16191703524</v>
      </c>
      <c r="G400">
        <v>8914.64</v>
      </c>
      <c r="H400" t="s">
        <v>79</v>
      </c>
      <c r="I400" t="s">
        <v>69</v>
      </c>
      <c r="J400">
        <v>7</v>
      </c>
      <c r="K400" t="s">
        <v>77</v>
      </c>
    </row>
    <row r="401" spans="1:11" x14ac:dyDescent="0.3">
      <c r="A401" t="s">
        <v>512</v>
      </c>
      <c r="B401" t="s">
        <v>49</v>
      </c>
      <c r="C401" s="7">
        <v>45881</v>
      </c>
      <c r="D401" s="7">
        <v>45889</v>
      </c>
      <c r="E401">
        <v>8</v>
      </c>
      <c r="F401">
        <v>260555.02155018892</v>
      </c>
      <c r="G401">
        <v>1666.18</v>
      </c>
      <c r="H401" t="s">
        <v>57</v>
      </c>
      <c r="I401" t="s">
        <v>73</v>
      </c>
      <c r="J401">
        <v>21</v>
      </c>
      <c r="K401" t="s">
        <v>89</v>
      </c>
    </row>
    <row r="402" spans="1:11" x14ac:dyDescent="0.3">
      <c r="A402" t="s">
        <v>514</v>
      </c>
      <c r="B402" t="s">
        <v>48</v>
      </c>
      <c r="C402" s="7">
        <v>45717</v>
      </c>
      <c r="D402" s="7">
        <v>45727</v>
      </c>
      <c r="E402">
        <v>10</v>
      </c>
      <c r="F402">
        <v>123168.91258485368</v>
      </c>
      <c r="G402">
        <v>5806.25</v>
      </c>
      <c r="H402" t="s">
        <v>65</v>
      </c>
      <c r="I402" t="s">
        <v>62</v>
      </c>
      <c r="J402">
        <v>4</v>
      </c>
      <c r="K402" t="s">
        <v>70</v>
      </c>
    </row>
    <row r="403" spans="1:11" x14ac:dyDescent="0.3">
      <c r="A403" t="s">
        <v>515</v>
      </c>
      <c r="B403" t="s">
        <v>44</v>
      </c>
      <c r="C403" s="7">
        <v>45792</v>
      </c>
      <c r="D403" s="7">
        <v>45796</v>
      </c>
      <c r="E403">
        <v>4</v>
      </c>
      <c r="F403">
        <v>606742.86420499114</v>
      </c>
      <c r="G403">
        <v>1486.75</v>
      </c>
      <c r="H403" t="s">
        <v>61</v>
      </c>
      <c r="I403" t="s">
        <v>69</v>
      </c>
      <c r="J403">
        <v>50</v>
      </c>
      <c r="K403" t="s">
        <v>70</v>
      </c>
    </row>
    <row r="404" spans="1:11" x14ac:dyDescent="0.3">
      <c r="A404" t="s">
        <v>516</v>
      </c>
      <c r="B404" t="s">
        <v>48</v>
      </c>
      <c r="C404" s="7">
        <v>45570</v>
      </c>
      <c r="D404" s="7">
        <v>45571</v>
      </c>
      <c r="E404">
        <v>1</v>
      </c>
      <c r="F404">
        <v>159958.70287911</v>
      </c>
      <c r="G404">
        <v>1049.69</v>
      </c>
      <c r="H404" t="s">
        <v>65</v>
      </c>
      <c r="I404" t="s">
        <v>62</v>
      </c>
      <c r="J404">
        <v>36</v>
      </c>
      <c r="K404" t="s">
        <v>89</v>
      </c>
    </row>
    <row r="405" spans="1:11" x14ac:dyDescent="0.3">
      <c r="A405" t="s">
        <v>517</v>
      </c>
      <c r="B405" t="s">
        <v>44</v>
      </c>
      <c r="C405" s="7">
        <v>45752</v>
      </c>
      <c r="D405" s="7">
        <v>45759</v>
      </c>
      <c r="E405">
        <v>7</v>
      </c>
      <c r="F405">
        <v>475866.40703127295</v>
      </c>
      <c r="G405">
        <v>10339.799999999999</v>
      </c>
      <c r="H405" t="s">
        <v>65</v>
      </c>
      <c r="I405" t="s">
        <v>58</v>
      </c>
      <c r="J405">
        <v>45</v>
      </c>
      <c r="K405" t="s">
        <v>59</v>
      </c>
    </row>
    <row r="406" spans="1:11" x14ac:dyDescent="0.3">
      <c r="A406" t="s">
        <v>518</v>
      </c>
      <c r="B406" t="s">
        <v>38</v>
      </c>
      <c r="C406" s="7">
        <v>45579</v>
      </c>
      <c r="D406" s="7">
        <v>45590</v>
      </c>
      <c r="E406">
        <v>11</v>
      </c>
      <c r="F406">
        <v>406713.82156302291</v>
      </c>
      <c r="G406">
        <v>8108.01</v>
      </c>
      <c r="H406" t="s">
        <v>61</v>
      </c>
      <c r="I406" t="s">
        <v>73</v>
      </c>
      <c r="J406">
        <v>48</v>
      </c>
      <c r="K406" t="s">
        <v>77</v>
      </c>
    </row>
    <row r="407" spans="1:11" x14ac:dyDescent="0.3">
      <c r="A407" t="s">
        <v>519</v>
      </c>
      <c r="B407" t="s">
        <v>46</v>
      </c>
      <c r="C407" s="7">
        <v>45877</v>
      </c>
      <c r="D407" s="7">
        <v>45884</v>
      </c>
      <c r="E407">
        <v>7</v>
      </c>
      <c r="F407">
        <v>363145.07590024977</v>
      </c>
      <c r="G407">
        <v>5724.6</v>
      </c>
      <c r="H407" t="s">
        <v>57</v>
      </c>
      <c r="I407" t="s">
        <v>62</v>
      </c>
      <c r="J407">
        <v>59</v>
      </c>
      <c r="K407" t="s">
        <v>66</v>
      </c>
    </row>
    <row r="408" spans="1:11" x14ac:dyDescent="0.3">
      <c r="A408" t="s">
        <v>520</v>
      </c>
      <c r="B408" t="s">
        <v>42</v>
      </c>
      <c r="C408" s="7">
        <v>45728</v>
      </c>
      <c r="D408" s="7">
        <v>45732</v>
      </c>
      <c r="E408">
        <v>4</v>
      </c>
      <c r="F408">
        <v>205492.60247331671</v>
      </c>
      <c r="G408">
        <v>11122.78</v>
      </c>
      <c r="H408" t="s">
        <v>91</v>
      </c>
      <c r="I408" t="s">
        <v>69</v>
      </c>
      <c r="J408">
        <v>14</v>
      </c>
      <c r="K408" t="s">
        <v>70</v>
      </c>
    </row>
    <row r="409" spans="1:11" x14ac:dyDescent="0.3">
      <c r="A409" t="s">
        <v>521</v>
      </c>
      <c r="B409" t="s">
        <v>44</v>
      </c>
      <c r="C409" s="7">
        <v>45345</v>
      </c>
      <c r="D409" s="7">
        <v>45347</v>
      </c>
      <c r="E409">
        <v>2</v>
      </c>
      <c r="F409">
        <v>733803.97565598099</v>
      </c>
      <c r="G409">
        <v>3901.99</v>
      </c>
      <c r="H409" t="s">
        <v>68</v>
      </c>
      <c r="I409" t="s">
        <v>69</v>
      </c>
      <c r="J409">
        <v>24</v>
      </c>
      <c r="K409" t="s">
        <v>70</v>
      </c>
    </row>
    <row r="410" spans="1:11" x14ac:dyDescent="0.3">
      <c r="A410" t="s">
        <v>522</v>
      </c>
      <c r="B410" t="s">
        <v>44</v>
      </c>
      <c r="C410" s="7">
        <v>45644</v>
      </c>
      <c r="D410" s="7">
        <v>45645</v>
      </c>
      <c r="E410">
        <v>1</v>
      </c>
      <c r="F410">
        <v>942630.48019332322</v>
      </c>
      <c r="G410">
        <v>9912.94</v>
      </c>
      <c r="H410" t="s">
        <v>68</v>
      </c>
      <c r="I410" t="s">
        <v>73</v>
      </c>
      <c r="J410">
        <v>9</v>
      </c>
      <c r="K410" t="s">
        <v>70</v>
      </c>
    </row>
    <row r="411" spans="1:11" x14ac:dyDescent="0.3">
      <c r="A411" t="s">
        <v>525</v>
      </c>
      <c r="B411" t="s">
        <v>50</v>
      </c>
      <c r="C411" s="7">
        <v>45888</v>
      </c>
      <c r="D411" s="7">
        <v>45890</v>
      </c>
      <c r="E411">
        <v>2</v>
      </c>
      <c r="F411">
        <v>107372.73343981363</v>
      </c>
      <c r="G411">
        <v>1796.62</v>
      </c>
      <c r="H411" t="s">
        <v>57</v>
      </c>
      <c r="I411" t="s">
        <v>73</v>
      </c>
      <c r="J411">
        <v>10</v>
      </c>
      <c r="K411" t="s">
        <v>70</v>
      </c>
    </row>
    <row r="412" spans="1:11" x14ac:dyDescent="0.3">
      <c r="A412" t="s">
        <v>526</v>
      </c>
      <c r="B412" t="s">
        <v>50</v>
      </c>
      <c r="C412" s="7">
        <v>45657</v>
      </c>
      <c r="D412" s="7">
        <v>45667</v>
      </c>
      <c r="E412">
        <v>10</v>
      </c>
      <c r="F412">
        <v>791145.31273737294</v>
      </c>
      <c r="G412">
        <v>6559.04</v>
      </c>
      <c r="H412" t="s">
        <v>91</v>
      </c>
      <c r="I412" t="s">
        <v>83</v>
      </c>
      <c r="J412">
        <v>28</v>
      </c>
      <c r="K412" t="s">
        <v>89</v>
      </c>
    </row>
    <row r="413" spans="1:11" x14ac:dyDescent="0.3">
      <c r="A413" t="s">
        <v>527</v>
      </c>
      <c r="B413" t="s">
        <v>42</v>
      </c>
      <c r="C413" s="7">
        <v>45946</v>
      </c>
      <c r="D413" s="7">
        <v>45949</v>
      </c>
      <c r="E413">
        <v>3</v>
      </c>
      <c r="F413">
        <v>589630.01922289166</v>
      </c>
      <c r="G413">
        <v>10992.88</v>
      </c>
      <c r="H413" t="s">
        <v>76</v>
      </c>
      <c r="I413" t="s">
        <v>73</v>
      </c>
      <c r="J413">
        <v>18</v>
      </c>
      <c r="K413" t="s">
        <v>59</v>
      </c>
    </row>
    <row r="414" spans="1:11" x14ac:dyDescent="0.3">
      <c r="A414" t="s">
        <v>528</v>
      </c>
      <c r="B414" t="s">
        <v>49</v>
      </c>
      <c r="C414" s="7">
        <v>45843</v>
      </c>
      <c r="D414" s="7">
        <v>45846</v>
      </c>
      <c r="E414">
        <v>3</v>
      </c>
      <c r="F414">
        <v>453160.43162893935</v>
      </c>
      <c r="G414">
        <v>11784.21</v>
      </c>
      <c r="H414" t="s">
        <v>57</v>
      </c>
      <c r="I414" t="s">
        <v>58</v>
      </c>
      <c r="J414">
        <v>40</v>
      </c>
      <c r="K414" t="s">
        <v>66</v>
      </c>
    </row>
    <row r="415" spans="1:11" x14ac:dyDescent="0.3">
      <c r="A415" t="s">
        <v>530</v>
      </c>
      <c r="B415" t="s">
        <v>38</v>
      </c>
      <c r="C415" s="7">
        <v>45665</v>
      </c>
      <c r="D415" s="7">
        <v>45678</v>
      </c>
      <c r="E415">
        <v>13</v>
      </c>
      <c r="F415">
        <v>51560.202277284312</v>
      </c>
      <c r="G415">
        <v>6228</v>
      </c>
      <c r="H415" t="s">
        <v>61</v>
      </c>
      <c r="I415" t="s">
        <v>73</v>
      </c>
      <c r="J415">
        <v>15</v>
      </c>
      <c r="K415" t="s">
        <v>70</v>
      </c>
    </row>
    <row r="416" spans="1:11" x14ac:dyDescent="0.3">
      <c r="A416" t="s">
        <v>531</v>
      </c>
      <c r="B416" t="s">
        <v>45</v>
      </c>
      <c r="C416" s="7">
        <v>45745</v>
      </c>
      <c r="D416" s="7">
        <v>45755</v>
      </c>
      <c r="E416">
        <v>10</v>
      </c>
      <c r="F416">
        <v>52225.204270241971</v>
      </c>
      <c r="G416">
        <v>1828.81</v>
      </c>
      <c r="H416" t="s">
        <v>61</v>
      </c>
      <c r="I416" t="s">
        <v>62</v>
      </c>
      <c r="J416">
        <v>23</v>
      </c>
      <c r="K416" t="s">
        <v>89</v>
      </c>
    </row>
    <row r="417" spans="1:11" x14ac:dyDescent="0.3">
      <c r="A417" t="s">
        <v>532</v>
      </c>
      <c r="B417" t="s">
        <v>43</v>
      </c>
      <c r="C417" s="7">
        <v>45338</v>
      </c>
      <c r="D417" s="7">
        <v>45338</v>
      </c>
      <c r="E417">
        <v>0</v>
      </c>
      <c r="F417">
        <v>52676.160731559961</v>
      </c>
      <c r="G417">
        <v>11222.37</v>
      </c>
      <c r="H417" t="s">
        <v>76</v>
      </c>
      <c r="I417" t="s">
        <v>62</v>
      </c>
      <c r="J417">
        <v>31</v>
      </c>
      <c r="K417" t="s">
        <v>70</v>
      </c>
    </row>
    <row r="418" spans="1:11" x14ac:dyDescent="0.3">
      <c r="A418" t="s">
        <v>533</v>
      </c>
      <c r="B418" t="s">
        <v>44</v>
      </c>
      <c r="C418" s="7">
        <v>45863</v>
      </c>
      <c r="D418" s="7">
        <v>45868</v>
      </c>
      <c r="E418">
        <v>5</v>
      </c>
      <c r="F418">
        <v>320593.20530025149</v>
      </c>
      <c r="G418">
        <v>1850.62</v>
      </c>
      <c r="H418" t="s">
        <v>65</v>
      </c>
      <c r="I418" t="s">
        <v>83</v>
      </c>
      <c r="J418">
        <v>44</v>
      </c>
      <c r="K418" t="s">
        <v>77</v>
      </c>
    </row>
    <row r="419" spans="1:11" x14ac:dyDescent="0.3">
      <c r="A419" t="s">
        <v>534</v>
      </c>
      <c r="B419" t="s">
        <v>43</v>
      </c>
      <c r="C419" s="7">
        <v>45837</v>
      </c>
      <c r="D419" s="7">
        <v>45848</v>
      </c>
      <c r="E419">
        <v>11</v>
      </c>
      <c r="F419">
        <v>742692.26399356406</v>
      </c>
      <c r="G419">
        <v>8027.16</v>
      </c>
      <c r="H419" t="s">
        <v>61</v>
      </c>
      <c r="I419" t="s">
        <v>73</v>
      </c>
      <c r="J419">
        <v>42</v>
      </c>
      <c r="K419" t="s">
        <v>70</v>
      </c>
    </row>
    <row r="420" spans="1:11" x14ac:dyDescent="0.3">
      <c r="A420" t="s">
        <v>535</v>
      </c>
      <c r="B420" t="s">
        <v>47</v>
      </c>
      <c r="C420" s="7">
        <v>45584</v>
      </c>
      <c r="D420" s="7">
        <v>45586</v>
      </c>
      <c r="E420">
        <v>2</v>
      </c>
      <c r="F420">
        <v>600972.52694995748</v>
      </c>
      <c r="G420">
        <v>9107.16</v>
      </c>
      <c r="H420" t="s">
        <v>57</v>
      </c>
      <c r="I420" t="s">
        <v>58</v>
      </c>
      <c r="J420">
        <v>59</v>
      </c>
      <c r="K420" t="s">
        <v>66</v>
      </c>
    </row>
    <row r="421" spans="1:11" x14ac:dyDescent="0.3">
      <c r="A421" t="s">
        <v>536</v>
      </c>
      <c r="B421" t="s">
        <v>49</v>
      </c>
      <c r="C421" s="7">
        <v>45584</v>
      </c>
      <c r="D421" s="7">
        <v>45592</v>
      </c>
      <c r="E421">
        <v>8</v>
      </c>
      <c r="F421">
        <v>590956.84745907935</v>
      </c>
      <c r="G421">
        <v>4661.8500000000004</v>
      </c>
      <c r="H421" t="s">
        <v>68</v>
      </c>
      <c r="I421" t="s">
        <v>73</v>
      </c>
      <c r="J421">
        <v>35</v>
      </c>
      <c r="K421" t="s">
        <v>66</v>
      </c>
    </row>
    <row r="422" spans="1:11" x14ac:dyDescent="0.3">
      <c r="A422" t="s">
        <v>537</v>
      </c>
      <c r="B422" t="s">
        <v>40</v>
      </c>
      <c r="C422" s="7">
        <v>45959</v>
      </c>
      <c r="D422" s="7">
        <v>45970</v>
      </c>
      <c r="E422">
        <v>11</v>
      </c>
      <c r="F422">
        <v>242961.3680593321</v>
      </c>
      <c r="G422">
        <v>13180.72</v>
      </c>
      <c r="H422" t="s">
        <v>79</v>
      </c>
      <c r="I422" t="s">
        <v>58</v>
      </c>
      <c r="J422">
        <v>23</v>
      </c>
      <c r="K422" t="s">
        <v>70</v>
      </c>
    </row>
    <row r="423" spans="1:11" x14ac:dyDescent="0.3">
      <c r="A423" t="s">
        <v>538</v>
      </c>
      <c r="B423" t="s">
        <v>49</v>
      </c>
      <c r="C423" s="7">
        <v>45407</v>
      </c>
      <c r="D423" s="7">
        <v>45416</v>
      </c>
      <c r="E423">
        <v>9</v>
      </c>
      <c r="F423">
        <v>60901.98767596743</v>
      </c>
      <c r="G423">
        <v>14592.62</v>
      </c>
      <c r="H423" t="s">
        <v>76</v>
      </c>
      <c r="I423" t="s">
        <v>69</v>
      </c>
      <c r="J423">
        <v>32</v>
      </c>
      <c r="K423" t="s">
        <v>77</v>
      </c>
    </row>
    <row r="424" spans="1:11" x14ac:dyDescent="0.3">
      <c r="A424" t="s">
        <v>539</v>
      </c>
      <c r="B424" t="s">
        <v>48</v>
      </c>
      <c r="C424" s="7">
        <v>45496</v>
      </c>
      <c r="D424" s="7">
        <v>45500</v>
      </c>
      <c r="E424">
        <v>4</v>
      </c>
      <c r="F424">
        <v>832495.47964045056</v>
      </c>
      <c r="G424">
        <v>962.5</v>
      </c>
      <c r="H424" t="s">
        <v>76</v>
      </c>
      <c r="I424" t="s">
        <v>73</v>
      </c>
      <c r="J424">
        <v>35</v>
      </c>
      <c r="K424" t="s">
        <v>59</v>
      </c>
    </row>
    <row r="425" spans="1:11" x14ac:dyDescent="0.3">
      <c r="A425" t="s">
        <v>540</v>
      </c>
      <c r="B425" t="s">
        <v>53</v>
      </c>
      <c r="C425" s="7">
        <v>45907</v>
      </c>
      <c r="D425" s="7">
        <v>45907</v>
      </c>
      <c r="E425">
        <v>0</v>
      </c>
      <c r="F425">
        <v>597550.97419345041</v>
      </c>
      <c r="G425">
        <v>354.04</v>
      </c>
      <c r="H425" t="s">
        <v>61</v>
      </c>
      <c r="I425" t="s">
        <v>73</v>
      </c>
      <c r="J425">
        <v>47</v>
      </c>
      <c r="K425" t="s">
        <v>70</v>
      </c>
    </row>
    <row r="426" spans="1:11" x14ac:dyDescent="0.3">
      <c r="A426" t="s">
        <v>541</v>
      </c>
      <c r="B426" t="s">
        <v>42</v>
      </c>
      <c r="C426" s="7">
        <v>45982</v>
      </c>
      <c r="D426" s="7">
        <v>45995</v>
      </c>
      <c r="E426">
        <v>13</v>
      </c>
      <c r="F426">
        <v>742101.57454423199</v>
      </c>
      <c r="G426">
        <v>11751.6</v>
      </c>
      <c r="H426" t="s">
        <v>57</v>
      </c>
      <c r="I426" t="s">
        <v>69</v>
      </c>
      <c r="J426">
        <v>42</v>
      </c>
      <c r="K426" t="s">
        <v>70</v>
      </c>
    </row>
    <row r="427" spans="1:11" x14ac:dyDescent="0.3">
      <c r="A427" t="s">
        <v>542</v>
      </c>
      <c r="B427" t="s">
        <v>52</v>
      </c>
      <c r="C427" s="7">
        <v>45844</v>
      </c>
      <c r="D427" s="7">
        <v>45848</v>
      </c>
      <c r="E427">
        <v>4</v>
      </c>
      <c r="F427">
        <v>196806.29181840847</v>
      </c>
      <c r="G427">
        <v>9521.0499999999993</v>
      </c>
      <c r="H427" t="s">
        <v>79</v>
      </c>
      <c r="I427" t="s">
        <v>69</v>
      </c>
      <c r="J427">
        <v>10</v>
      </c>
      <c r="K427" t="s">
        <v>89</v>
      </c>
    </row>
    <row r="428" spans="1:11" x14ac:dyDescent="0.3">
      <c r="A428" t="s">
        <v>543</v>
      </c>
      <c r="B428" t="s">
        <v>49</v>
      </c>
      <c r="C428" s="7">
        <v>46017</v>
      </c>
      <c r="D428" s="7">
        <v>46019</v>
      </c>
      <c r="E428">
        <v>2</v>
      </c>
      <c r="F428">
        <v>859828.52239588497</v>
      </c>
      <c r="G428">
        <v>1586.63</v>
      </c>
      <c r="H428" t="s">
        <v>76</v>
      </c>
      <c r="I428" t="s">
        <v>69</v>
      </c>
      <c r="J428">
        <v>12</v>
      </c>
      <c r="K428" t="s">
        <v>66</v>
      </c>
    </row>
    <row r="429" spans="1:11" x14ac:dyDescent="0.3">
      <c r="A429" t="s">
        <v>544</v>
      </c>
      <c r="B429" t="s">
        <v>47</v>
      </c>
      <c r="C429" s="7">
        <v>45712</v>
      </c>
      <c r="D429" s="7">
        <v>45722</v>
      </c>
      <c r="E429">
        <v>10</v>
      </c>
      <c r="F429">
        <v>270990.53515505453</v>
      </c>
      <c r="G429">
        <v>4790.37</v>
      </c>
      <c r="H429" t="s">
        <v>76</v>
      </c>
      <c r="I429" t="s">
        <v>69</v>
      </c>
      <c r="J429">
        <v>44</v>
      </c>
      <c r="K429" t="s">
        <v>77</v>
      </c>
    </row>
    <row r="430" spans="1:11" x14ac:dyDescent="0.3">
      <c r="A430" t="s">
        <v>545</v>
      </c>
      <c r="B430" t="s">
        <v>39</v>
      </c>
      <c r="C430" s="7">
        <v>45790</v>
      </c>
      <c r="D430" s="7">
        <v>45793</v>
      </c>
      <c r="E430">
        <v>3</v>
      </c>
      <c r="F430">
        <v>435243.4868158137</v>
      </c>
      <c r="G430">
        <v>9747.76</v>
      </c>
      <c r="H430" t="s">
        <v>68</v>
      </c>
      <c r="I430" t="s">
        <v>83</v>
      </c>
      <c r="J430">
        <v>47</v>
      </c>
      <c r="K430" t="s">
        <v>77</v>
      </c>
    </row>
    <row r="431" spans="1:11" x14ac:dyDescent="0.3">
      <c r="A431" t="s">
        <v>546</v>
      </c>
      <c r="B431" t="s">
        <v>49</v>
      </c>
      <c r="C431" s="7">
        <v>45413</v>
      </c>
      <c r="D431" s="7">
        <v>45419</v>
      </c>
      <c r="E431">
        <v>6</v>
      </c>
      <c r="F431">
        <v>367793.73835149815</v>
      </c>
      <c r="G431">
        <v>1828.53</v>
      </c>
      <c r="H431" t="s">
        <v>57</v>
      </c>
      <c r="I431" t="s">
        <v>83</v>
      </c>
      <c r="J431">
        <v>9</v>
      </c>
      <c r="K431" t="s">
        <v>66</v>
      </c>
    </row>
    <row r="432" spans="1:11" x14ac:dyDescent="0.3">
      <c r="A432" t="s">
        <v>547</v>
      </c>
      <c r="B432" t="s">
        <v>42</v>
      </c>
      <c r="C432" s="7">
        <v>45986</v>
      </c>
      <c r="D432" s="7">
        <v>45986</v>
      </c>
      <c r="E432">
        <v>0</v>
      </c>
      <c r="F432">
        <v>755599.14603644132</v>
      </c>
      <c r="G432">
        <v>339.06</v>
      </c>
      <c r="H432" t="s">
        <v>79</v>
      </c>
      <c r="I432" t="s">
        <v>83</v>
      </c>
      <c r="J432">
        <v>35</v>
      </c>
      <c r="K432" t="s">
        <v>70</v>
      </c>
    </row>
    <row r="433" spans="1:11" x14ac:dyDescent="0.3">
      <c r="A433" t="s">
        <v>548</v>
      </c>
      <c r="B433" t="s">
        <v>41</v>
      </c>
      <c r="C433" s="7">
        <v>45943</v>
      </c>
      <c r="D433" s="7">
        <v>45957</v>
      </c>
      <c r="E433">
        <v>14</v>
      </c>
      <c r="F433">
        <v>425085.5337371396</v>
      </c>
      <c r="G433">
        <v>2614.54</v>
      </c>
      <c r="H433" t="s">
        <v>61</v>
      </c>
      <c r="I433" t="s">
        <v>69</v>
      </c>
      <c r="J433">
        <v>10</v>
      </c>
      <c r="K433" t="s">
        <v>66</v>
      </c>
    </row>
    <row r="434" spans="1:11" x14ac:dyDescent="0.3">
      <c r="A434" t="s">
        <v>549</v>
      </c>
      <c r="B434" t="s">
        <v>40</v>
      </c>
      <c r="C434" s="7">
        <v>45323</v>
      </c>
      <c r="D434" s="7">
        <v>45326</v>
      </c>
      <c r="E434">
        <v>3</v>
      </c>
      <c r="F434">
        <v>408761.54498737387</v>
      </c>
      <c r="G434">
        <v>2381.17</v>
      </c>
      <c r="H434" t="s">
        <v>65</v>
      </c>
      <c r="I434" t="s">
        <v>62</v>
      </c>
      <c r="J434">
        <v>15</v>
      </c>
      <c r="K434" t="s">
        <v>89</v>
      </c>
    </row>
    <row r="435" spans="1:11" x14ac:dyDescent="0.3">
      <c r="A435" t="s">
        <v>550</v>
      </c>
      <c r="B435" t="s">
        <v>45</v>
      </c>
      <c r="C435" s="7">
        <v>45584</v>
      </c>
      <c r="D435" s="7">
        <v>45585</v>
      </c>
      <c r="E435">
        <v>1</v>
      </c>
      <c r="F435">
        <v>911387.45437327819</v>
      </c>
      <c r="G435">
        <v>4370.8500000000004</v>
      </c>
      <c r="H435" t="s">
        <v>57</v>
      </c>
      <c r="I435" t="s">
        <v>58</v>
      </c>
      <c r="J435">
        <v>22</v>
      </c>
      <c r="K435" t="s">
        <v>59</v>
      </c>
    </row>
    <row r="436" spans="1:11" x14ac:dyDescent="0.3">
      <c r="A436" t="s">
        <v>551</v>
      </c>
      <c r="B436" t="s">
        <v>53</v>
      </c>
      <c r="C436" s="7">
        <v>45943</v>
      </c>
      <c r="D436" s="7">
        <v>45945</v>
      </c>
      <c r="E436">
        <v>2</v>
      </c>
      <c r="F436">
        <v>172259.65187396287</v>
      </c>
      <c r="G436">
        <v>8051.11</v>
      </c>
      <c r="H436" t="s">
        <v>91</v>
      </c>
      <c r="I436" t="s">
        <v>73</v>
      </c>
      <c r="J436">
        <v>44</v>
      </c>
      <c r="K436" t="s">
        <v>89</v>
      </c>
    </row>
    <row r="437" spans="1:11" x14ac:dyDescent="0.3">
      <c r="A437" t="s">
        <v>552</v>
      </c>
      <c r="B437" t="s">
        <v>53</v>
      </c>
      <c r="C437" s="7">
        <v>45926</v>
      </c>
      <c r="D437" s="7">
        <v>45935</v>
      </c>
      <c r="E437">
        <v>9</v>
      </c>
      <c r="F437">
        <v>779491.58153700305</v>
      </c>
      <c r="G437">
        <v>5356.11</v>
      </c>
      <c r="H437" t="s">
        <v>57</v>
      </c>
      <c r="I437" t="s">
        <v>62</v>
      </c>
      <c r="J437">
        <v>59</v>
      </c>
      <c r="K437" t="s">
        <v>89</v>
      </c>
    </row>
    <row r="438" spans="1:11" x14ac:dyDescent="0.3">
      <c r="A438" t="s">
        <v>553</v>
      </c>
      <c r="B438" t="s">
        <v>40</v>
      </c>
      <c r="C438" s="7">
        <v>45770</v>
      </c>
      <c r="D438" s="7">
        <v>45775</v>
      </c>
      <c r="E438">
        <v>5</v>
      </c>
      <c r="F438">
        <v>306381.72526927956</v>
      </c>
      <c r="G438">
        <v>6472.71</v>
      </c>
      <c r="H438" t="s">
        <v>65</v>
      </c>
      <c r="I438" t="s">
        <v>69</v>
      </c>
      <c r="J438">
        <v>39</v>
      </c>
      <c r="K438" t="s">
        <v>70</v>
      </c>
    </row>
    <row r="439" spans="1:11" x14ac:dyDescent="0.3">
      <c r="A439" t="s">
        <v>554</v>
      </c>
      <c r="B439" t="s">
        <v>50</v>
      </c>
      <c r="C439" s="7">
        <v>45996</v>
      </c>
      <c r="D439" s="7">
        <v>46002</v>
      </c>
      <c r="E439">
        <v>6</v>
      </c>
      <c r="F439">
        <v>524800.26428383915</v>
      </c>
      <c r="G439">
        <v>8173.46</v>
      </c>
      <c r="H439" t="s">
        <v>68</v>
      </c>
      <c r="I439" t="s">
        <v>58</v>
      </c>
      <c r="J439">
        <v>35</v>
      </c>
      <c r="K439" t="s">
        <v>66</v>
      </c>
    </row>
    <row r="440" spans="1:11" x14ac:dyDescent="0.3">
      <c r="A440" t="s">
        <v>555</v>
      </c>
      <c r="B440" t="s">
        <v>39</v>
      </c>
      <c r="C440" s="7">
        <v>46019</v>
      </c>
      <c r="D440" s="7">
        <v>46027</v>
      </c>
      <c r="E440">
        <v>8</v>
      </c>
      <c r="F440">
        <v>551897.66640948621</v>
      </c>
      <c r="G440">
        <v>10463.780000000001</v>
      </c>
      <c r="H440" t="s">
        <v>65</v>
      </c>
      <c r="I440" t="s">
        <v>73</v>
      </c>
      <c r="J440">
        <v>45</v>
      </c>
      <c r="K440" t="s">
        <v>59</v>
      </c>
    </row>
    <row r="441" spans="1:11" x14ac:dyDescent="0.3">
      <c r="A441" t="s">
        <v>556</v>
      </c>
      <c r="B441" t="s">
        <v>43</v>
      </c>
      <c r="C441" s="7">
        <v>45315</v>
      </c>
      <c r="D441" s="7">
        <v>45320</v>
      </c>
      <c r="E441">
        <v>5</v>
      </c>
      <c r="F441">
        <v>533379.86974790029</v>
      </c>
      <c r="G441">
        <v>14372.71</v>
      </c>
      <c r="H441" t="s">
        <v>57</v>
      </c>
      <c r="I441" t="s">
        <v>83</v>
      </c>
      <c r="J441">
        <v>59</v>
      </c>
      <c r="K441" t="s">
        <v>70</v>
      </c>
    </row>
    <row r="442" spans="1:11" x14ac:dyDescent="0.3">
      <c r="A442" t="s">
        <v>557</v>
      </c>
      <c r="B442" t="s">
        <v>52</v>
      </c>
      <c r="C442" s="7">
        <v>45832</v>
      </c>
      <c r="D442" s="7">
        <v>45834</v>
      </c>
      <c r="E442">
        <v>2</v>
      </c>
      <c r="F442">
        <v>796288.75699618005</v>
      </c>
      <c r="G442">
        <v>8362.2099999999991</v>
      </c>
      <c r="H442" t="s">
        <v>68</v>
      </c>
      <c r="I442" t="s">
        <v>73</v>
      </c>
      <c r="J442">
        <v>14</v>
      </c>
      <c r="K442" t="s">
        <v>66</v>
      </c>
    </row>
    <row r="443" spans="1:11" x14ac:dyDescent="0.3">
      <c r="A443" t="s">
        <v>559</v>
      </c>
      <c r="B443" t="s">
        <v>39</v>
      </c>
      <c r="C443" s="7">
        <v>45736</v>
      </c>
      <c r="D443" s="7">
        <v>45738</v>
      </c>
      <c r="E443">
        <v>2</v>
      </c>
      <c r="F443">
        <v>729977.19723423326</v>
      </c>
      <c r="G443">
        <v>7152.52</v>
      </c>
      <c r="H443" t="s">
        <v>76</v>
      </c>
      <c r="I443" t="s">
        <v>58</v>
      </c>
      <c r="J443">
        <v>45</v>
      </c>
      <c r="K443" t="s">
        <v>70</v>
      </c>
    </row>
    <row r="444" spans="1:11" x14ac:dyDescent="0.3">
      <c r="A444" t="s">
        <v>561</v>
      </c>
      <c r="B444" t="s">
        <v>46</v>
      </c>
      <c r="C444" s="7">
        <v>45757</v>
      </c>
      <c r="D444" s="7">
        <v>45770</v>
      </c>
      <c r="E444">
        <v>13</v>
      </c>
      <c r="F444">
        <v>405424.46717362071</v>
      </c>
      <c r="G444">
        <v>14233.98</v>
      </c>
      <c r="H444" t="s">
        <v>68</v>
      </c>
      <c r="I444" t="s">
        <v>58</v>
      </c>
      <c r="J444">
        <v>46</v>
      </c>
      <c r="K444" t="s">
        <v>70</v>
      </c>
    </row>
    <row r="445" spans="1:11" x14ac:dyDescent="0.3">
      <c r="A445" t="s">
        <v>562</v>
      </c>
      <c r="B445" t="s">
        <v>49</v>
      </c>
      <c r="C445" s="7">
        <v>45556</v>
      </c>
      <c r="D445" s="7">
        <v>45560</v>
      </c>
      <c r="E445">
        <v>4</v>
      </c>
      <c r="F445">
        <v>927203.3231666293</v>
      </c>
      <c r="G445">
        <v>7918.22</v>
      </c>
      <c r="H445" t="s">
        <v>76</v>
      </c>
      <c r="I445" t="s">
        <v>73</v>
      </c>
      <c r="J445">
        <v>26</v>
      </c>
      <c r="K445" t="s">
        <v>77</v>
      </c>
    </row>
    <row r="446" spans="1:11" x14ac:dyDescent="0.3">
      <c r="A446" t="s">
        <v>563</v>
      </c>
      <c r="B446" t="s">
        <v>40</v>
      </c>
      <c r="C446" s="7">
        <v>45697</v>
      </c>
      <c r="D446" s="7">
        <v>45707</v>
      </c>
      <c r="E446">
        <v>10</v>
      </c>
      <c r="F446">
        <v>405995.46697464166</v>
      </c>
      <c r="G446">
        <v>4194.8100000000004</v>
      </c>
      <c r="H446" t="s">
        <v>57</v>
      </c>
      <c r="I446" t="s">
        <v>83</v>
      </c>
      <c r="J446">
        <v>24</v>
      </c>
      <c r="K446" t="s">
        <v>77</v>
      </c>
    </row>
    <row r="447" spans="1:11" x14ac:dyDescent="0.3">
      <c r="A447" t="s">
        <v>564</v>
      </c>
      <c r="B447" t="s">
        <v>38</v>
      </c>
      <c r="C447" s="7">
        <v>45558</v>
      </c>
      <c r="D447" s="7">
        <v>45566</v>
      </c>
      <c r="E447">
        <v>8</v>
      </c>
      <c r="F447">
        <v>104268.75565606572</v>
      </c>
      <c r="G447">
        <v>3336.27</v>
      </c>
      <c r="H447" t="s">
        <v>57</v>
      </c>
      <c r="I447" t="s">
        <v>62</v>
      </c>
      <c r="J447">
        <v>13</v>
      </c>
      <c r="K447" t="s">
        <v>77</v>
      </c>
    </row>
    <row r="448" spans="1:11" x14ac:dyDescent="0.3">
      <c r="A448" t="s">
        <v>565</v>
      </c>
      <c r="B448" t="s">
        <v>48</v>
      </c>
      <c r="C448" s="7">
        <v>45574</v>
      </c>
      <c r="D448" s="7">
        <v>45575</v>
      </c>
      <c r="E448">
        <v>1</v>
      </c>
      <c r="F448">
        <v>930565.17182825773</v>
      </c>
      <c r="G448">
        <v>8558.99</v>
      </c>
      <c r="H448" t="s">
        <v>91</v>
      </c>
      <c r="I448" t="s">
        <v>69</v>
      </c>
      <c r="J448">
        <v>3</v>
      </c>
      <c r="K448" t="s">
        <v>59</v>
      </c>
    </row>
    <row r="449" spans="1:11" x14ac:dyDescent="0.3">
      <c r="A449" t="s">
        <v>566</v>
      </c>
      <c r="B449" t="s">
        <v>39</v>
      </c>
      <c r="C449" s="7">
        <v>45778</v>
      </c>
      <c r="D449" s="7">
        <v>45790</v>
      </c>
      <c r="E449">
        <v>12</v>
      </c>
      <c r="F449">
        <v>271330.34037590679</v>
      </c>
      <c r="G449">
        <v>6092.42</v>
      </c>
      <c r="H449" t="s">
        <v>76</v>
      </c>
      <c r="I449" t="s">
        <v>62</v>
      </c>
      <c r="J449">
        <v>49</v>
      </c>
      <c r="K449" t="s">
        <v>89</v>
      </c>
    </row>
    <row r="450" spans="1:11" x14ac:dyDescent="0.3">
      <c r="A450" t="s">
        <v>567</v>
      </c>
      <c r="B450" t="s">
        <v>40</v>
      </c>
      <c r="C450" s="7">
        <v>45747</v>
      </c>
      <c r="D450" s="7">
        <v>45752</v>
      </c>
      <c r="E450">
        <v>5</v>
      </c>
      <c r="F450">
        <v>389914.10550406395</v>
      </c>
      <c r="G450">
        <v>11173.48</v>
      </c>
      <c r="H450" t="s">
        <v>57</v>
      </c>
      <c r="I450" t="s">
        <v>58</v>
      </c>
      <c r="J450">
        <v>52</v>
      </c>
      <c r="K450" t="s">
        <v>66</v>
      </c>
    </row>
    <row r="451" spans="1:11" x14ac:dyDescent="0.3">
      <c r="A451" t="s">
        <v>568</v>
      </c>
      <c r="B451" t="s">
        <v>45</v>
      </c>
      <c r="C451" s="7">
        <v>45659</v>
      </c>
      <c r="D451" s="7">
        <v>45664</v>
      </c>
      <c r="E451">
        <v>5</v>
      </c>
      <c r="F451">
        <v>595192.02729579539</v>
      </c>
      <c r="G451">
        <v>14114.09</v>
      </c>
      <c r="H451" t="s">
        <v>57</v>
      </c>
      <c r="I451" t="s">
        <v>69</v>
      </c>
      <c r="J451">
        <v>16</v>
      </c>
      <c r="K451" t="s">
        <v>66</v>
      </c>
    </row>
    <row r="452" spans="1:11" x14ac:dyDescent="0.3">
      <c r="A452" t="s">
        <v>569</v>
      </c>
      <c r="B452" t="s">
        <v>39</v>
      </c>
      <c r="C452" s="7">
        <v>45688</v>
      </c>
      <c r="D452" s="7">
        <v>45702</v>
      </c>
      <c r="E452">
        <v>14</v>
      </c>
      <c r="F452">
        <v>283870.10575027455</v>
      </c>
      <c r="G452">
        <v>1208.8</v>
      </c>
      <c r="H452" t="s">
        <v>91</v>
      </c>
      <c r="I452" t="s">
        <v>62</v>
      </c>
      <c r="J452">
        <v>23</v>
      </c>
      <c r="K452" t="s">
        <v>59</v>
      </c>
    </row>
    <row r="453" spans="1:11" x14ac:dyDescent="0.3">
      <c r="A453" t="s">
        <v>570</v>
      </c>
      <c r="B453" t="s">
        <v>47</v>
      </c>
      <c r="C453" s="7">
        <v>45878</v>
      </c>
      <c r="D453" s="7">
        <v>45891</v>
      </c>
      <c r="E453">
        <v>13</v>
      </c>
      <c r="F453">
        <v>275340.04198196385</v>
      </c>
      <c r="G453">
        <v>6253.69</v>
      </c>
      <c r="H453" t="s">
        <v>91</v>
      </c>
      <c r="I453" t="s">
        <v>73</v>
      </c>
      <c r="J453">
        <v>29</v>
      </c>
      <c r="K453" t="s">
        <v>70</v>
      </c>
    </row>
    <row r="454" spans="1:11" x14ac:dyDescent="0.3">
      <c r="A454" t="s">
        <v>571</v>
      </c>
      <c r="B454" t="s">
        <v>43</v>
      </c>
      <c r="C454" s="7">
        <v>45767</v>
      </c>
      <c r="D454" s="7">
        <v>45775</v>
      </c>
      <c r="E454">
        <v>8</v>
      </c>
      <c r="F454">
        <v>430560.52626750735</v>
      </c>
      <c r="G454">
        <v>13185.65</v>
      </c>
      <c r="H454" t="s">
        <v>65</v>
      </c>
      <c r="I454" t="s">
        <v>83</v>
      </c>
      <c r="J454">
        <v>40</v>
      </c>
      <c r="K454" t="s">
        <v>59</v>
      </c>
    </row>
    <row r="455" spans="1:11" x14ac:dyDescent="0.3">
      <c r="A455" t="s">
        <v>572</v>
      </c>
      <c r="B455" t="s">
        <v>49</v>
      </c>
      <c r="C455" s="7">
        <v>45694</v>
      </c>
      <c r="D455" s="7">
        <v>45707</v>
      </c>
      <c r="E455">
        <v>13</v>
      </c>
      <c r="F455">
        <v>103161.68930102732</v>
      </c>
      <c r="G455">
        <v>5762.16</v>
      </c>
      <c r="H455" t="s">
        <v>91</v>
      </c>
      <c r="I455" t="s">
        <v>69</v>
      </c>
      <c r="J455">
        <v>55</v>
      </c>
      <c r="K455" t="s">
        <v>59</v>
      </c>
    </row>
    <row r="456" spans="1:11" x14ac:dyDescent="0.3">
      <c r="A456" t="s">
        <v>573</v>
      </c>
      <c r="B456" t="s">
        <v>44</v>
      </c>
      <c r="C456" s="7">
        <v>45621</v>
      </c>
      <c r="D456" s="7">
        <v>45626</v>
      </c>
      <c r="E456">
        <v>5</v>
      </c>
      <c r="F456">
        <v>445549.42983179359</v>
      </c>
      <c r="G456">
        <v>9708.77</v>
      </c>
      <c r="H456" t="s">
        <v>79</v>
      </c>
      <c r="I456" t="s">
        <v>69</v>
      </c>
      <c r="J456">
        <v>7</v>
      </c>
      <c r="K456" t="s">
        <v>59</v>
      </c>
    </row>
    <row r="457" spans="1:11" x14ac:dyDescent="0.3">
      <c r="A457" t="s">
        <v>574</v>
      </c>
      <c r="B457" t="s">
        <v>49</v>
      </c>
      <c r="C457" s="7">
        <v>45778</v>
      </c>
      <c r="D457" s="7">
        <v>45781</v>
      </c>
      <c r="E457">
        <v>3</v>
      </c>
      <c r="F457">
        <v>384439.11297369614</v>
      </c>
      <c r="G457">
        <v>1154.18</v>
      </c>
      <c r="H457" t="s">
        <v>61</v>
      </c>
      <c r="I457" t="s">
        <v>58</v>
      </c>
      <c r="J457">
        <v>32</v>
      </c>
      <c r="K457" t="s">
        <v>66</v>
      </c>
    </row>
    <row r="458" spans="1:11" x14ac:dyDescent="0.3">
      <c r="A458" t="s">
        <v>575</v>
      </c>
      <c r="B458" t="s">
        <v>39</v>
      </c>
      <c r="C458" s="7">
        <v>45466</v>
      </c>
      <c r="D458" s="7">
        <v>45474</v>
      </c>
      <c r="E458">
        <v>8</v>
      </c>
      <c r="F458">
        <v>151059.61699245314</v>
      </c>
      <c r="G458">
        <v>7155.52</v>
      </c>
      <c r="H458" t="s">
        <v>65</v>
      </c>
      <c r="I458" t="s">
        <v>73</v>
      </c>
      <c r="J458">
        <v>21</v>
      </c>
      <c r="K458" t="s">
        <v>77</v>
      </c>
    </row>
    <row r="459" spans="1:11" x14ac:dyDescent="0.3">
      <c r="A459" t="s">
        <v>576</v>
      </c>
      <c r="B459" t="s">
        <v>47</v>
      </c>
      <c r="C459" s="7">
        <v>45845</v>
      </c>
      <c r="D459" s="7">
        <v>45857</v>
      </c>
      <c r="E459">
        <v>12</v>
      </c>
      <c r="F459">
        <v>411586.05679509375</v>
      </c>
      <c r="G459">
        <v>7206.46</v>
      </c>
      <c r="H459" t="s">
        <v>57</v>
      </c>
      <c r="I459" t="s">
        <v>73</v>
      </c>
      <c r="J459">
        <v>56</v>
      </c>
      <c r="K459" t="s">
        <v>59</v>
      </c>
    </row>
    <row r="460" spans="1:11" x14ac:dyDescent="0.3">
      <c r="A460" t="s">
        <v>577</v>
      </c>
      <c r="B460" t="s">
        <v>42</v>
      </c>
      <c r="C460" s="7">
        <v>45613</v>
      </c>
      <c r="D460" s="7">
        <v>45614</v>
      </c>
      <c r="E460">
        <v>1</v>
      </c>
      <c r="F460">
        <v>137762.7528830276</v>
      </c>
      <c r="G460">
        <v>4253.8</v>
      </c>
      <c r="H460" t="s">
        <v>57</v>
      </c>
      <c r="I460" t="s">
        <v>62</v>
      </c>
      <c r="J460">
        <v>56</v>
      </c>
      <c r="K460" t="s">
        <v>89</v>
      </c>
    </row>
    <row r="461" spans="1:11" x14ac:dyDescent="0.3">
      <c r="A461" t="s">
        <v>578</v>
      </c>
      <c r="B461" t="s">
        <v>46</v>
      </c>
      <c r="C461" s="7">
        <v>45669</v>
      </c>
      <c r="D461" s="7">
        <v>45671</v>
      </c>
      <c r="E461">
        <v>2</v>
      </c>
      <c r="F461">
        <v>791823.01772924082</v>
      </c>
      <c r="G461">
        <v>1568.13</v>
      </c>
      <c r="H461" t="s">
        <v>68</v>
      </c>
      <c r="I461" t="s">
        <v>62</v>
      </c>
      <c r="J461">
        <v>49</v>
      </c>
      <c r="K461" t="s">
        <v>70</v>
      </c>
    </row>
    <row r="462" spans="1:11" x14ac:dyDescent="0.3">
      <c r="A462" t="s">
        <v>579</v>
      </c>
      <c r="B462" t="s">
        <v>41</v>
      </c>
      <c r="C462" s="7">
        <v>45950</v>
      </c>
      <c r="D462" s="7">
        <v>45957</v>
      </c>
      <c r="E462">
        <v>7</v>
      </c>
      <c r="F462">
        <v>511665.36341052072</v>
      </c>
      <c r="G462">
        <v>11801.09</v>
      </c>
      <c r="H462" t="s">
        <v>65</v>
      </c>
      <c r="I462" t="s">
        <v>69</v>
      </c>
      <c r="J462">
        <v>23</v>
      </c>
      <c r="K462" t="s">
        <v>77</v>
      </c>
    </row>
    <row r="463" spans="1:11" x14ac:dyDescent="0.3">
      <c r="A463" t="s">
        <v>580</v>
      </c>
      <c r="B463" t="s">
        <v>52</v>
      </c>
      <c r="C463" s="7">
        <v>45920</v>
      </c>
      <c r="D463" s="7">
        <v>45923</v>
      </c>
      <c r="E463">
        <v>3</v>
      </c>
      <c r="F463">
        <v>77058.931990061872</v>
      </c>
      <c r="G463">
        <v>10085.84</v>
      </c>
      <c r="H463" t="s">
        <v>91</v>
      </c>
      <c r="I463" t="s">
        <v>73</v>
      </c>
      <c r="J463">
        <v>21</v>
      </c>
      <c r="K463" t="s">
        <v>70</v>
      </c>
    </row>
    <row r="464" spans="1:11" x14ac:dyDescent="0.3">
      <c r="A464" t="s">
        <v>581</v>
      </c>
      <c r="B464" t="s">
        <v>40</v>
      </c>
      <c r="C464" s="7">
        <v>46020</v>
      </c>
      <c r="D464" s="7">
        <v>46033</v>
      </c>
      <c r="E464">
        <v>13</v>
      </c>
      <c r="F464">
        <v>303620.72845611151</v>
      </c>
      <c r="G464">
        <v>11921.85</v>
      </c>
      <c r="H464" t="s">
        <v>65</v>
      </c>
      <c r="I464" t="s">
        <v>69</v>
      </c>
      <c r="J464">
        <v>17</v>
      </c>
      <c r="K464" t="s">
        <v>77</v>
      </c>
    </row>
    <row r="465" spans="1:11" x14ac:dyDescent="0.3">
      <c r="A465" t="s">
        <v>582</v>
      </c>
      <c r="B465" t="s">
        <v>45</v>
      </c>
      <c r="C465" s="7">
        <v>45832</v>
      </c>
      <c r="D465" s="7">
        <v>45842</v>
      </c>
      <c r="E465">
        <v>10</v>
      </c>
      <c r="F465">
        <v>923723.3366151345</v>
      </c>
      <c r="G465">
        <v>1642.2</v>
      </c>
      <c r="H465" t="s">
        <v>76</v>
      </c>
      <c r="I465" t="s">
        <v>73</v>
      </c>
      <c r="J465">
        <v>27</v>
      </c>
      <c r="K465" t="s">
        <v>77</v>
      </c>
    </row>
    <row r="466" spans="1:11" x14ac:dyDescent="0.3">
      <c r="A466" t="s">
        <v>583</v>
      </c>
      <c r="B466" t="s">
        <v>47</v>
      </c>
      <c r="C466" s="7">
        <v>45836</v>
      </c>
      <c r="D466" s="7">
        <v>45839</v>
      </c>
      <c r="E466">
        <v>3</v>
      </c>
      <c r="F466">
        <v>907504.14760637935</v>
      </c>
      <c r="G466">
        <v>14581.82</v>
      </c>
      <c r="H466" t="s">
        <v>91</v>
      </c>
      <c r="I466" t="s">
        <v>83</v>
      </c>
      <c r="J466">
        <v>24</v>
      </c>
      <c r="K466" t="s">
        <v>70</v>
      </c>
    </row>
    <row r="467" spans="1:11" x14ac:dyDescent="0.3">
      <c r="A467" t="s">
        <v>584</v>
      </c>
      <c r="B467" t="s">
        <v>42</v>
      </c>
      <c r="C467" s="7">
        <v>45556</v>
      </c>
      <c r="D467" s="7">
        <v>45567</v>
      </c>
      <c r="E467">
        <v>11</v>
      </c>
      <c r="F467">
        <v>477124.6390733447</v>
      </c>
      <c r="G467">
        <v>14985.91</v>
      </c>
      <c r="H467" t="s">
        <v>68</v>
      </c>
      <c r="I467" t="s">
        <v>69</v>
      </c>
      <c r="J467">
        <v>23</v>
      </c>
      <c r="K467" t="s">
        <v>70</v>
      </c>
    </row>
    <row r="468" spans="1:11" x14ac:dyDescent="0.3">
      <c r="A468" t="s">
        <v>585</v>
      </c>
      <c r="B468" t="s">
        <v>46</v>
      </c>
      <c r="C468" s="7">
        <v>45627</v>
      </c>
      <c r="D468" s="7">
        <v>45634</v>
      </c>
      <c r="E468">
        <v>7</v>
      </c>
      <c r="F468">
        <v>409947.36993565655</v>
      </c>
      <c r="G468">
        <v>2818.05</v>
      </c>
      <c r="H468" t="s">
        <v>91</v>
      </c>
      <c r="I468" t="s">
        <v>73</v>
      </c>
      <c r="J468">
        <v>35</v>
      </c>
      <c r="K468" t="s">
        <v>89</v>
      </c>
    </row>
    <row r="469" spans="1:11" x14ac:dyDescent="0.3">
      <c r="A469" t="s">
        <v>586</v>
      </c>
      <c r="B469" t="s">
        <v>48</v>
      </c>
      <c r="C469" s="7">
        <v>45732</v>
      </c>
      <c r="D469" s="7">
        <v>45733</v>
      </c>
      <c r="E469">
        <v>1</v>
      </c>
      <c r="F469">
        <v>474536.40304535767</v>
      </c>
      <c r="G469">
        <v>11325.56</v>
      </c>
      <c r="H469" t="s">
        <v>91</v>
      </c>
      <c r="I469" t="s">
        <v>83</v>
      </c>
      <c r="J469">
        <v>41</v>
      </c>
      <c r="K469" t="s">
        <v>89</v>
      </c>
    </row>
    <row r="470" spans="1:11" x14ac:dyDescent="0.3">
      <c r="A470" t="s">
        <v>587</v>
      </c>
      <c r="B470" t="s">
        <v>48</v>
      </c>
      <c r="C470" s="7">
        <v>45870</v>
      </c>
      <c r="D470" s="7">
        <v>45873</v>
      </c>
      <c r="E470">
        <v>3</v>
      </c>
      <c r="F470">
        <v>214810.88732401567</v>
      </c>
      <c r="G470">
        <v>6928.52</v>
      </c>
      <c r="H470" t="s">
        <v>68</v>
      </c>
      <c r="I470" t="s">
        <v>83</v>
      </c>
      <c r="J470">
        <v>13</v>
      </c>
      <c r="K470" t="s">
        <v>89</v>
      </c>
    </row>
    <row r="471" spans="1:11" x14ac:dyDescent="0.3">
      <c r="A471" t="s">
        <v>589</v>
      </c>
      <c r="B471" t="s">
        <v>53</v>
      </c>
      <c r="C471" s="7">
        <v>45919</v>
      </c>
      <c r="D471" s="7">
        <v>45932</v>
      </c>
      <c r="E471">
        <v>13</v>
      </c>
      <c r="F471">
        <v>860308.06060475123</v>
      </c>
      <c r="G471">
        <v>13658.2</v>
      </c>
      <c r="H471" t="s">
        <v>65</v>
      </c>
      <c r="I471" t="s">
        <v>73</v>
      </c>
      <c r="J471">
        <v>1</v>
      </c>
      <c r="K471" t="s">
        <v>89</v>
      </c>
    </row>
    <row r="472" spans="1:11" x14ac:dyDescent="0.3">
      <c r="A472" t="s">
        <v>590</v>
      </c>
      <c r="B472" t="s">
        <v>38</v>
      </c>
      <c r="C472" s="7">
        <v>45679</v>
      </c>
      <c r="D472" s="7">
        <v>45692</v>
      </c>
      <c r="E472">
        <v>13</v>
      </c>
      <c r="F472">
        <v>778679.2247566852</v>
      </c>
      <c r="G472">
        <v>12336.51</v>
      </c>
      <c r="H472" t="s">
        <v>91</v>
      </c>
      <c r="I472" t="s">
        <v>62</v>
      </c>
      <c r="J472">
        <v>22</v>
      </c>
      <c r="K472" t="s">
        <v>66</v>
      </c>
    </row>
    <row r="473" spans="1:11" x14ac:dyDescent="0.3">
      <c r="A473" t="s">
        <v>591</v>
      </c>
      <c r="B473" t="s">
        <v>41</v>
      </c>
      <c r="C473" s="7">
        <v>45745</v>
      </c>
      <c r="D473" s="7">
        <v>45754</v>
      </c>
      <c r="E473">
        <v>9</v>
      </c>
      <c r="F473">
        <v>615097.62658833887</v>
      </c>
      <c r="G473">
        <v>12462.54</v>
      </c>
      <c r="H473" t="s">
        <v>79</v>
      </c>
      <c r="I473" t="s">
        <v>58</v>
      </c>
      <c r="J473">
        <v>28</v>
      </c>
      <c r="K473" t="s">
        <v>66</v>
      </c>
    </row>
    <row r="474" spans="1:11" x14ac:dyDescent="0.3">
      <c r="A474" t="s">
        <v>592</v>
      </c>
      <c r="B474" t="s">
        <v>49</v>
      </c>
      <c r="C474" s="7">
        <v>45689</v>
      </c>
      <c r="D474" s="7">
        <v>45697</v>
      </c>
      <c r="E474">
        <v>8</v>
      </c>
      <c r="F474">
        <v>153625.62277234707</v>
      </c>
      <c r="G474">
        <v>3618.35</v>
      </c>
      <c r="H474" t="s">
        <v>65</v>
      </c>
      <c r="I474" t="s">
        <v>73</v>
      </c>
      <c r="J474">
        <v>33</v>
      </c>
      <c r="K474" t="s">
        <v>59</v>
      </c>
    </row>
    <row r="475" spans="1:11" x14ac:dyDescent="0.3">
      <c r="A475" t="s">
        <v>594</v>
      </c>
      <c r="B475" t="s">
        <v>41</v>
      </c>
      <c r="C475" s="7">
        <v>45908</v>
      </c>
      <c r="D475" s="7">
        <v>45911</v>
      </c>
      <c r="E475">
        <v>3</v>
      </c>
      <c r="F475">
        <v>511580.88846776681</v>
      </c>
      <c r="G475">
        <v>3829.77</v>
      </c>
      <c r="H475" t="s">
        <v>79</v>
      </c>
      <c r="I475" t="s">
        <v>69</v>
      </c>
      <c r="J475">
        <v>50</v>
      </c>
      <c r="K475" t="s">
        <v>70</v>
      </c>
    </row>
    <row r="476" spans="1:11" x14ac:dyDescent="0.3">
      <c r="A476" t="s">
        <v>595</v>
      </c>
      <c r="B476" t="s">
        <v>42</v>
      </c>
      <c r="C476" s="7">
        <v>45969</v>
      </c>
      <c r="D476" s="7">
        <v>45969</v>
      </c>
      <c r="E476">
        <v>0</v>
      </c>
      <c r="F476">
        <v>609355.23593090789</v>
      </c>
      <c r="G476">
        <v>8774.4500000000007</v>
      </c>
      <c r="H476" t="s">
        <v>57</v>
      </c>
      <c r="I476" t="s">
        <v>83</v>
      </c>
      <c r="J476">
        <v>30</v>
      </c>
      <c r="K476" t="s">
        <v>77</v>
      </c>
    </row>
    <row r="477" spans="1:11" x14ac:dyDescent="0.3">
      <c r="A477" t="s">
        <v>596</v>
      </c>
      <c r="B477" t="s">
        <v>39</v>
      </c>
      <c r="C477" s="7">
        <v>45629</v>
      </c>
      <c r="D477" s="7">
        <v>45643</v>
      </c>
      <c r="E477">
        <v>14</v>
      </c>
      <c r="F477">
        <v>174690.37071546138</v>
      </c>
      <c r="G477">
        <v>1345.25</v>
      </c>
      <c r="H477" t="s">
        <v>79</v>
      </c>
      <c r="I477" t="s">
        <v>62</v>
      </c>
      <c r="J477">
        <v>59</v>
      </c>
      <c r="K477" t="s">
        <v>66</v>
      </c>
    </row>
    <row r="478" spans="1:11" x14ac:dyDescent="0.3">
      <c r="A478" t="s">
        <v>597</v>
      </c>
      <c r="B478" t="s">
        <v>39</v>
      </c>
      <c r="C478" s="7">
        <v>45552</v>
      </c>
      <c r="D478" s="7">
        <v>45558</v>
      </c>
      <c r="E478">
        <v>6</v>
      </c>
      <c r="F478">
        <v>73039.703134822092</v>
      </c>
      <c r="G478">
        <v>14396.41</v>
      </c>
      <c r="H478" t="s">
        <v>57</v>
      </c>
      <c r="I478" t="s">
        <v>73</v>
      </c>
      <c r="J478">
        <v>44</v>
      </c>
      <c r="K478" t="s">
        <v>89</v>
      </c>
    </row>
    <row r="479" spans="1:11" x14ac:dyDescent="0.3">
      <c r="A479" t="s">
        <v>598</v>
      </c>
      <c r="B479" t="s">
        <v>53</v>
      </c>
      <c r="C479" s="7">
        <v>45925</v>
      </c>
      <c r="D479" s="7">
        <v>45937</v>
      </c>
      <c r="E479">
        <v>12</v>
      </c>
      <c r="F479">
        <v>156151.61410567333</v>
      </c>
      <c r="G479">
        <v>4621.57</v>
      </c>
      <c r="H479" t="s">
        <v>76</v>
      </c>
      <c r="I479" t="s">
        <v>58</v>
      </c>
      <c r="J479">
        <v>41</v>
      </c>
      <c r="K479" t="s">
        <v>77</v>
      </c>
    </row>
    <row r="480" spans="1:11" x14ac:dyDescent="0.3">
      <c r="A480" t="s">
        <v>599</v>
      </c>
      <c r="B480" t="s">
        <v>39</v>
      </c>
      <c r="C480" s="7">
        <v>45950</v>
      </c>
      <c r="D480" s="7">
        <v>45959</v>
      </c>
      <c r="E480">
        <v>9</v>
      </c>
      <c r="F480">
        <v>572898.26420810318</v>
      </c>
      <c r="G480">
        <v>274.22000000000003</v>
      </c>
      <c r="H480" t="s">
        <v>91</v>
      </c>
      <c r="I480" t="s">
        <v>62</v>
      </c>
      <c r="J480">
        <v>60</v>
      </c>
      <c r="K480" t="s">
        <v>59</v>
      </c>
    </row>
    <row r="481" spans="1:11" x14ac:dyDescent="0.3">
      <c r="A481" t="s">
        <v>600</v>
      </c>
      <c r="B481" t="s">
        <v>47</v>
      </c>
      <c r="C481" s="7">
        <v>45332</v>
      </c>
      <c r="D481" s="7">
        <v>45340</v>
      </c>
      <c r="E481">
        <v>8</v>
      </c>
      <c r="F481">
        <v>489102.29674592876</v>
      </c>
      <c r="G481">
        <v>2454.7199999999998</v>
      </c>
      <c r="H481" t="s">
        <v>79</v>
      </c>
      <c r="I481" t="s">
        <v>62</v>
      </c>
      <c r="J481">
        <v>8</v>
      </c>
      <c r="K481" t="s">
        <v>66</v>
      </c>
    </row>
    <row r="482" spans="1:11" x14ac:dyDescent="0.3">
      <c r="A482" t="s">
        <v>601</v>
      </c>
      <c r="B482" t="s">
        <v>43</v>
      </c>
      <c r="C482" s="7">
        <v>45444</v>
      </c>
      <c r="D482" s="7">
        <v>45455</v>
      </c>
      <c r="E482">
        <v>11</v>
      </c>
      <c r="F482">
        <v>659885.86014650716</v>
      </c>
      <c r="G482">
        <v>2073.39</v>
      </c>
      <c r="H482" t="s">
        <v>61</v>
      </c>
      <c r="I482" t="s">
        <v>69</v>
      </c>
      <c r="J482">
        <v>13</v>
      </c>
      <c r="K482" t="s">
        <v>59</v>
      </c>
    </row>
    <row r="483" spans="1:11" x14ac:dyDescent="0.3">
      <c r="A483" t="s">
        <v>602</v>
      </c>
      <c r="B483" t="s">
        <v>49</v>
      </c>
      <c r="C483" s="7">
        <v>45857</v>
      </c>
      <c r="D483" s="7">
        <v>45864</v>
      </c>
      <c r="E483">
        <v>7</v>
      </c>
      <c r="F483">
        <v>710774.70893137855</v>
      </c>
      <c r="G483">
        <v>7537.87</v>
      </c>
      <c r="H483" t="s">
        <v>91</v>
      </c>
      <c r="I483" t="s">
        <v>69</v>
      </c>
      <c r="J483">
        <v>60</v>
      </c>
      <c r="K483" t="s">
        <v>66</v>
      </c>
    </row>
    <row r="484" spans="1:11" x14ac:dyDescent="0.3">
      <c r="A484" t="s">
        <v>603</v>
      </c>
      <c r="B484" t="s">
        <v>40</v>
      </c>
      <c r="C484" s="7">
        <v>45691</v>
      </c>
      <c r="D484" s="7">
        <v>45697</v>
      </c>
      <c r="E484">
        <v>6</v>
      </c>
      <c r="F484">
        <v>100878.96039683456</v>
      </c>
      <c r="G484">
        <v>11938.67</v>
      </c>
      <c r="H484" t="s">
        <v>91</v>
      </c>
      <c r="I484" t="s">
        <v>62</v>
      </c>
      <c r="J484">
        <v>11</v>
      </c>
      <c r="K484" t="s">
        <v>66</v>
      </c>
    </row>
    <row r="485" spans="1:11" x14ac:dyDescent="0.3">
      <c r="A485" t="s">
        <v>604</v>
      </c>
      <c r="B485" t="s">
        <v>41</v>
      </c>
      <c r="C485" s="7">
        <v>46001</v>
      </c>
      <c r="D485" s="7">
        <v>46006</v>
      </c>
      <c r="E485">
        <v>5</v>
      </c>
      <c r="F485">
        <v>356374.37748102471</v>
      </c>
      <c r="G485">
        <v>11736.82</v>
      </c>
      <c r="H485" t="s">
        <v>57</v>
      </c>
      <c r="I485" t="s">
        <v>83</v>
      </c>
      <c r="J485">
        <v>21</v>
      </c>
      <c r="K485" t="s">
        <v>59</v>
      </c>
    </row>
    <row r="486" spans="1:11" x14ac:dyDescent="0.3">
      <c r="A486" t="s">
        <v>605</v>
      </c>
      <c r="B486" t="s">
        <v>41</v>
      </c>
      <c r="C486" s="7">
        <v>45852</v>
      </c>
      <c r="D486" s="7">
        <v>45866</v>
      </c>
      <c r="E486">
        <v>14</v>
      </c>
      <c r="F486">
        <v>224087.25227831036</v>
      </c>
      <c r="G486">
        <v>1180.28</v>
      </c>
      <c r="H486" t="s">
        <v>61</v>
      </c>
      <c r="I486" t="s">
        <v>58</v>
      </c>
      <c r="J486">
        <v>14</v>
      </c>
      <c r="K486" t="s">
        <v>77</v>
      </c>
    </row>
    <row r="487" spans="1:11" x14ac:dyDescent="0.3">
      <c r="A487" t="s">
        <v>606</v>
      </c>
      <c r="B487" t="s">
        <v>52</v>
      </c>
      <c r="C487" s="7">
        <v>45651</v>
      </c>
      <c r="D487" s="7">
        <v>45651</v>
      </c>
      <c r="E487">
        <v>0</v>
      </c>
      <c r="F487">
        <v>765402.68544551625</v>
      </c>
      <c r="G487">
        <v>7580.03</v>
      </c>
      <c r="H487" t="s">
        <v>61</v>
      </c>
      <c r="I487" t="s">
        <v>69</v>
      </c>
      <c r="J487">
        <v>8</v>
      </c>
      <c r="K487" t="s">
        <v>59</v>
      </c>
    </row>
    <row r="488" spans="1:11" x14ac:dyDescent="0.3">
      <c r="A488" t="s">
        <v>607</v>
      </c>
      <c r="B488" t="s">
        <v>40</v>
      </c>
      <c r="C488" s="7">
        <v>46021</v>
      </c>
      <c r="D488" s="7">
        <v>46035</v>
      </c>
      <c r="E488">
        <v>14</v>
      </c>
      <c r="F488">
        <v>504075.95671152259</v>
      </c>
      <c r="G488">
        <v>5193.37</v>
      </c>
      <c r="H488" t="s">
        <v>57</v>
      </c>
      <c r="I488" t="s">
        <v>83</v>
      </c>
      <c r="J488">
        <v>31</v>
      </c>
      <c r="K488" t="s">
        <v>59</v>
      </c>
    </row>
    <row r="489" spans="1:11" x14ac:dyDescent="0.3">
      <c r="A489" t="s">
        <v>608</v>
      </c>
      <c r="B489" t="s">
        <v>49</v>
      </c>
      <c r="C489" s="7">
        <v>45745</v>
      </c>
      <c r="D489" s="7">
        <v>45757</v>
      </c>
      <c r="E489">
        <v>12</v>
      </c>
      <c r="F489">
        <v>331553.35276011517</v>
      </c>
      <c r="G489">
        <v>1380.55</v>
      </c>
      <c r="H489" t="s">
        <v>79</v>
      </c>
      <c r="I489" t="s">
        <v>62</v>
      </c>
      <c r="J489">
        <v>32</v>
      </c>
      <c r="K489" t="s">
        <v>77</v>
      </c>
    </row>
    <row r="490" spans="1:11" x14ac:dyDescent="0.3">
      <c r="A490" t="s">
        <v>609</v>
      </c>
      <c r="B490" t="s">
        <v>44</v>
      </c>
      <c r="C490" s="7">
        <v>45900</v>
      </c>
      <c r="D490" s="7">
        <v>45907</v>
      </c>
      <c r="E490">
        <v>7</v>
      </c>
      <c r="F490">
        <v>809031.77035311353</v>
      </c>
      <c r="G490">
        <v>14513.86</v>
      </c>
      <c r="H490" t="s">
        <v>57</v>
      </c>
      <c r="I490" t="s">
        <v>62</v>
      </c>
      <c r="J490">
        <v>40</v>
      </c>
      <c r="K490" t="s">
        <v>59</v>
      </c>
    </row>
    <row r="491" spans="1:11" x14ac:dyDescent="0.3">
      <c r="A491" t="s">
        <v>610</v>
      </c>
      <c r="B491" t="s">
        <v>41</v>
      </c>
      <c r="C491" s="7">
        <v>45328</v>
      </c>
      <c r="D491" s="7">
        <v>45330</v>
      </c>
      <c r="E491">
        <v>2</v>
      </c>
      <c r="F491">
        <v>103007.34786426637</v>
      </c>
      <c r="G491">
        <v>4978.3100000000004</v>
      </c>
      <c r="H491" t="s">
        <v>65</v>
      </c>
      <c r="I491" t="s">
        <v>69</v>
      </c>
      <c r="J491">
        <v>15</v>
      </c>
      <c r="K491" t="s">
        <v>66</v>
      </c>
    </row>
    <row r="492" spans="1:11" x14ac:dyDescent="0.3">
      <c r="A492" t="s">
        <v>612</v>
      </c>
      <c r="B492" t="s">
        <v>38</v>
      </c>
      <c r="C492" s="7">
        <v>45685</v>
      </c>
      <c r="D492" s="7">
        <v>45690</v>
      </c>
      <c r="E492">
        <v>5</v>
      </c>
      <c r="F492">
        <v>656391.26514626539</v>
      </c>
      <c r="G492">
        <v>11916.09</v>
      </c>
      <c r="H492" t="s">
        <v>68</v>
      </c>
      <c r="I492" t="s">
        <v>62</v>
      </c>
      <c r="J492">
        <v>45</v>
      </c>
      <c r="K492" t="s">
        <v>66</v>
      </c>
    </row>
    <row r="493" spans="1:11" x14ac:dyDescent="0.3">
      <c r="A493" t="s">
        <v>613</v>
      </c>
      <c r="B493" t="s">
        <v>47</v>
      </c>
      <c r="C493" s="7">
        <v>45637</v>
      </c>
      <c r="D493" s="7">
        <v>45642</v>
      </c>
      <c r="E493">
        <v>5</v>
      </c>
      <c r="F493">
        <v>821587.41447611933</v>
      </c>
      <c r="G493">
        <v>11344.92</v>
      </c>
      <c r="H493" t="s">
        <v>79</v>
      </c>
      <c r="I493" t="s">
        <v>69</v>
      </c>
      <c r="J493">
        <v>41</v>
      </c>
      <c r="K493" t="s">
        <v>89</v>
      </c>
    </row>
    <row r="494" spans="1:11" x14ac:dyDescent="0.3">
      <c r="A494" t="s">
        <v>615</v>
      </c>
      <c r="B494" t="s">
        <v>50</v>
      </c>
      <c r="C494" s="7">
        <v>45519</v>
      </c>
      <c r="D494" s="7">
        <v>45524</v>
      </c>
      <c r="E494">
        <v>5</v>
      </c>
      <c r="F494">
        <v>533513.25123645912</v>
      </c>
      <c r="G494">
        <v>13118.51</v>
      </c>
      <c r="H494" t="s">
        <v>65</v>
      </c>
      <c r="I494" t="s">
        <v>73</v>
      </c>
      <c r="J494">
        <v>45</v>
      </c>
      <c r="K494" t="s">
        <v>59</v>
      </c>
    </row>
    <row r="495" spans="1:11" x14ac:dyDescent="0.3">
      <c r="A495" t="s">
        <v>616</v>
      </c>
      <c r="B495" t="s">
        <v>45</v>
      </c>
      <c r="C495" s="7">
        <v>45311</v>
      </c>
      <c r="D495" s="7">
        <v>45321</v>
      </c>
      <c r="E495">
        <v>10</v>
      </c>
      <c r="F495">
        <v>208407.30557330017</v>
      </c>
      <c r="G495">
        <v>12313.97</v>
      </c>
      <c r="H495" t="s">
        <v>76</v>
      </c>
      <c r="I495" t="s">
        <v>69</v>
      </c>
      <c r="J495">
        <v>7</v>
      </c>
      <c r="K495" t="s">
        <v>70</v>
      </c>
    </row>
    <row r="496" spans="1:11" x14ac:dyDescent="0.3">
      <c r="A496" t="s">
        <v>617</v>
      </c>
      <c r="B496" t="s">
        <v>53</v>
      </c>
      <c r="C496" s="7">
        <v>45731</v>
      </c>
      <c r="D496" s="7">
        <v>45737</v>
      </c>
      <c r="E496">
        <v>6</v>
      </c>
      <c r="F496">
        <v>929047.79860841436</v>
      </c>
      <c r="G496">
        <v>13044.31</v>
      </c>
      <c r="H496" t="s">
        <v>91</v>
      </c>
      <c r="I496" t="s">
        <v>73</v>
      </c>
      <c r="J496">
        <v>50</v>
      </c>
      <c r="K496" t="s">
        <v>89</v>
      </c>
    </row>
    <row r="497" spans="1:11" x14ac:dyDescent="0.3">
      <c r="A497" t="s">
        <v>618</v>
      </c>
      <c r="B497" t="s">
        <v>39</v>
      </c>
      <c r="C497" s="7">
        <v>45594</v>
      </c>
      <c r="D497" s="7">
        <v>45604</v>
      </c>
      <c r="E497">
        <v>10</v>
      </c>
      <c r="F497">
        <v>294826.44231046521</v>
      </c>
      <c r="G497">
        <v>13073.5</v>
      </c>
      <c r="H497" t="s">
        <v>65</v>
      </c>
      <c r="I497" t="s">
        <v>83</v>
      </c>
      <c r="J497">
        <v>10</v>
      </c>
      <c r="K497" t="s">
        <v>89</v>
      </c>
    </row>
    <row r="498" spans="1:11" x14ac:dyDescent="0.3">
      <c r="A498" t="s">
        <v>619</v>
      </c>
      <c r="B498" t="s">
        <v>49</v>
      </c>
      <c r="C498" s="7">
        <v>45346</v>
      </c>
      <c r="D498" s="7">
        <v>45360</v>
      </c>
      <c r="E498">
        <v>14</v>
      </c>
      <c r="F498">
        <v>440772.46709155053</v>
      </c>
      <c r="G498">
        <v>4148</v>
      </c>
      <c r="H498" t="s">
        <v>68</v>
      </c>
      <c r="I498" t="s">
        <v>58</v>
      </c>
      <c r="J498">
        <v>29</v>
      </c>
      <c r="K498" t="s">
        <v>70</v>
      </c>
    </row>
    <row r="499" spans="1:11" x14ac:dyDescent="0.3">
      <c r="A499" t="s">
        <v>620</v>
      </c>
      <c r="B499" t="s">
        <v>39</v>
      </c>
      <c r="C499" s="7">
        <v>45900</v>
      </c>
      <c r="D499" s="7">
        <v>45906</v>
      </c>
      <c r="E499">
        <v>6</v>
      </c>
      <c r="F499">
        <v>204543.05330476686</v>
      </c>
      <c r="G499">
        <v>6074.53</v>
      </c>
      <c r="H499" t="s">
        <v>68</v>
      </c>
      <c r="I499" t="s">
        <v>58</v>
      </c>
      <c r="J499">
        <v>22</v>
      </c>
      <c r="K499" t="s">
        <v>59</v>
      </c>
    </row>
    <row r="500" spans="1:11" x14ac:dyDescent="0.3">
      <c r="A500" t="s">
        <v>621</v>
      </c>
      <c r="B500" t="s">
        <v>42</v>
      </c>
      <c r="C500" s="7">
        <v>45497</v>
      </c>
      <c r="D500" s="7">
        <v>45507</v>
      </c>
      <c r="E500">
        <v>10</v>
      </c>
      <c r="F500">
        <v>366399.58422108553</v>
      </c>
      <c r="G500">
        <v>13934.7</v>
      </c>
      <c r="H500" t="s">
        <v>76</v>
      </c>
      <c r="I500" t="s">
        <v>62</v>
      </c>
      <c r="J500">
        <v>13</v>
      </c>
      <c r="K500" t="s">
        <v>89</v>
      </c>
    </row>
    <row r="501" spans="1:11" x14ac:dyDescent="0.3">
      <c r="A501" t="s">
        <v>622</v>
      </c>
      <c r="B501" t="s">
        <v>38</v>
      </c>
      <c r="C501" s="7">
        <v>45582</v>
      </c>
      <c r="D501" s="7">
        <v>45585</v>
      </c>
      <c r="E501">
        <v>3</v>
      </c>
      <c r="F501">
        <v>65701.180664303683</v>
      </c>
      <c r="G501">
        <v>1695.27</v>
      </c>
      <c r="H501" t="s">
        <v>76</v>
      </c>
      <c r="I501" t="s">
        <v>58</v>
      </c>
      <c r="J501">
        <v>45</v>
      </c>
      <c r="K501" t="s">
        <v>89</v>
      </c>
    </row>
    <row r="502" spans="1:11" x14ac:dyDescent="0.3">
      <c r="A502" t="s">
        <v>623</v>
      </c>
      <c r="B502" t="s">
        <v>49</v>
      </c>
      <c r="C502" s="7">
        <v>45484</v>
      </c>
      <c r="D502" s="7">
        <v>45492</v>
      </c>
      <c r="E502">
        <v>8</v>
      </c>
      <c r="F502">
        <v>865159.97103856551</v>
      </c>
      <c r="G502">
        <v>9407.35</v>
      </c>
      <c r="H502" t="s">
        <v>65</v>
      </c>
      <c r="I502" t="s">
        <v>62</v>
      </c>
      <c r="J502">
        <v>55</v>
      </c>
      <c r="K502" t="s">
        <v>66</v>
      </c>
    </row>
    <row r="503" spans="1:11" x14ac:dyDescent="0.3">
      <c r="A503" t="s">
        <v>624</v>
      </c>
      <c r="B503" t="s">
        <v>43</v>
      </c>
      <c r="C503" s="7">
        <v>45769</v>
      </c>
      <c r="D503" s="7">
        <v>45771</v>
      </c>
      <c r="E503">
        <v>2</v>
      </c>
      <c r="F503">
        <v>318573.42847350327</v>
      </c>
      <c r="G503">
        <v>6937.2</v>
      </c>
      <c r="H503" t="s">
        <v>57</v>
      </c>
      <c r="I503" t="s">
        <v>69</v>
      </c>
      <c r="J503">
        <v>28</v>
      </c>
      <c r="K503" t="s">
        <v>70</v>
      </c>
    </row>
    <row r="504" spans="1:11" x14ac:dyDescent="0.3">
      <c r="A504" t="s">
        <v>625</v>
      </c>
      <c r="B504" t="s">
        <v>40</v>
      </c>
      <c r="C504" s="7">
        <v>45589</v>
      </c>
      <c r="D504" s="7">
        <v>45599</v>
      </c>
      <c r="E504">
        <v>10</v>
      </c>
      <c r="F504">
        <v>725080.8263042327</v>
      </c>
      <c r="G504">
        <v>344.06</v>
      </c>
      <c r="H504" t="s">
        <v>61</v>
      </c>
      <c r="I504" t="s">
        <v>69</v>
      </c>
      <c r="J504">
        <v>38</v>
      </c>
      <c r="K504" t="s">
        <v>59</v>
      </c>
    </row>
    <row r="505" spans="1:11" x14ac:dyDescent="0.3">
      <c r="A505" t="s">
        <v>626</v>
      </c>
      <c r="B505" t="s">
        <v>52</v>
      </c>
      <c r="C505" s="7">
        <v>45510</v>
      </c>
      <c r="D505" s="7">
        <v>45510</v>
      </c>
      <c r="E505">
        <v>0</v>
      </c>
      <c r="F505">
        <v>780786.65227591502</v>
      </c>
      <c r="G505">
        <v>8595.5499999999993</v>
      </c>
      <c r="H505" t="s">
        <v>61</v>
      </c>
      <c r="I505" t="s">
        <v>73</v>
      </c>
      <c r="J505">
        <v>34</v>
      </c>
      <c r="K505" t="s">
        <v>77</v>
      </c>
    </row>
    <row r="506" spans="1:11" x14ac:dyDescent="0.3">
      <c r="A506" t="s">
        <v>627</v>
      </c>
      <c r="B506" t="s">
        <v>50</v>
      </c>
      <c r="C506" s="7">
        <v>45472</v>
      </c>
      <c r="D506" s="7">
        <v>45473</v>
      </c>
      <c r="E506">
        <v>1</v>
      </c>
      <c r="F506">
        <v>292410.33191771357</v>
      </c>
      <c r="G506">
        <v>11095.56</v>
      </c>
      <c r="H506" t="s">
        <v>68</v>
      </c>
      <c r="I506" t="s">
        <v>69</v>
      </c>
      <c r="J506">
        <v>48</v>
      </c>
      <c r="K506" t="s">
        <v>70</v>
      </c>
    </row>
    <row r="507" spans="1:11" x14ac:dyDescent="0.3">
      <c r="A507" t="s">
        <v>628</v>
      </c>
      <c r="B507" t="s">
        <v>48</v>
      </c>
      <c r="C507" s="7">
        <v>45886</v>
      </c>
      <c r="D507" s="7">
        <v>45893</v>
      </c>
      <c r="E507">
        <v>7</v>
      </c>
      <c r="F507">
        <v>16052.77972302944</v>
      </c>
      <c r="G507">
        <v>5418.87</v>
      </c>
      <c r="H507" t="s">
        <v>65</v>
      </c>
      <c r="I507" t="s">
        <v>62</v>
      </c>
      <c r="J507">
        <v>58</v>
      </c>
      <c r="K507" t="s">
        <v>77</v>
      </c>
    </row>
    <row r="508" spans="1:11" x14ac:dyDescent="0.3">
      <c r="A508" t="s">
        <v>629</v>
      </c>
      <c r="B508" t="s">
        <v>39</v>
      </c>
      <c r="C508" s="7">
        <v>45965</v>
      </c>
      <c r="D508" s="7">
        <v>45976</v>
      </c>
      <c r="E508">
        <v>11</v>
      </c>
      <c r="F508">
        <v>610697.30776578817</v>
      </c>
      <c r="G508">
        <v>2388.9299999999998</v>
      </c>
      <c r="H508" t="s">
        <v>68</v>
      </c>
      <c r="I508" t="s">
        <v>73</v>
      </c>
      <c r="J508">
        <v>43</v>
      </c>
      <c r="K508" t="s">
        <v>66</v>
      </c>
    </row>
    <row r="509" spans="1:11" x14ac:dyDescent="0.3">
      <c r="A509" t="s">
        <v>630</v>
      </c>
      <c r="B509" t="s">
        <v>45</v>
      </c>
      <c r="C509" s="7">
        <v>45890</v>
      </c>
      <c r="D509" s="7">
        <v>45901</v>
      </c>
      <c r="E509">
        <v>11</v>
      </c>
      <c r="F509">
        <v>663877.77755408955</v>
      </c>
      <c r="G509">
        <v>6574.66</v>
      </c>
      <c r="H509" t="s">
        <v>76</v>
      </c>
      <c r="I509" t="s">
        <v>83</v>
      </c>
      <c r="J509">
        <v>13</v>
      </c>
      <c r="K509" t="s">
        <v>89</v>
      </c>
    </row>
    <row r="510" spans="1:11" x14ac:dyDescent="0.3">
      <c r="A510" t="s">
        <v>631</v>
      </c>
      <c r="B510" t="s">
        <v>44</v>
      </c>
      <c r="C510" s="7">
        <v>45861</v>
      </c>
      <c r="D510" s="7">
        <v>45865</v>
      </c>
      <c r="E510">
        <v>4</v>
      </c>
      <c r="F510">
        <v>184133.7801054274</v>
      </c>
      <c r="G510">
        <v>8776.85</v>
      </c>
      <c r="H510" t="s">
        <v>65</v>
      </c>
      <c r="I510" t="s">
        <v>62</v>
      </c>
      <c r="J510">
        <v>54</v>
      </c>
      <c r="K510" t="s">
        <v>77</v>
      </c>
    </row>
    <row r="511" spans="1:11" x14ac:dyDescent="0.3">
      <c r="A511" t="s">
        <v>632</v>
      </c>
      <c r="B511" t="s">
        <v>44</v>
      </c>
      <c r="C511" s="7">
        <v>45878</v>
      </c>
      <c r="D511" s="7">
        <v>45882</v>
      </c>
      <c r="E511">
        <v>4</v>
      </c>
      <c r="F511">
        <v>107807.17600254813</v>
      </c>
      <c r="G511">
        <v>323.36</v>
      </c>
      <c r="H511" t="s">
        <v>65</v>
      </c>
      <c r="I511" t="s">
        <v>73</v>
      </c>
      <c r="J511">
        <v>30</v>
      </c>
      <c r="K511" t="s">
        <v>66</v>
      </c>
    </row>
    <row r="512" spans="1:11" x14ac:dyDescent="0.3">
      <c r="A512" t="s">
        <v>633</v>
      </c>
      <c r="B512" t="s">
        <v>47</v>
      </c>
      <c r="C512" s="7">
        <v>45723</v>
      </c>
      <c r="D512" s="7">
        <v>45727</v>
      </c>
      <c r="E512">
        <v>4</v>
      </c>
      <c r="F512">
        <v>465439.78552564461</v>
      </c>
      <c r="G512">
        <v>1156.32</v>
      </c>
      <c r="H512" t="s">
        <v>61</v>
      </c>
      <c r="I512" t="s">
        <v>83</v>
      </c>
      <c r="J512">
        <v>30</v>
      </c>
      <c r="K512" t="s">
        <v>59</v>
      </c>
    </row>
    <row r="513" spans="1:11" x14ac:dyDescent="0.3">
      <c r="A513" t="s">
        <v>634</v>
      </c>
      <c r="B513" t="s">
        <v>42</v>
      </c>
      <c r="C513" s="7">
        <v>45623</v>
      </c>
      <c r="D513" s="7">
        <v>45630</v>
      </c>
      <c r="E513">
        <v>7</v>
      </c>
      <c r="F513">
        <v>293568.21026839339</v>
      </c>
      <c r="G513">
        <v>6568.78</v>
      </c>
      <c r="H513" t="s">
        <v>65</v>
      </c>
      <c r="I513" t="s">
        <v>83</v>
      </c>
      <c r="J513">
        <v>4</v>
      </c>
      <c r="K513" t="s">
        <v>70</v>
      </c>
    </row>
    <row r="514" spans="1:11" x14ac:dyDescent="0.3">
      <c r="A514" t="s">
        <v>635</v>
      </c>
      <c r="B514" t="s">
        <v>43</v>
      </c>
      <c r="C514" s="7">
        <v>45952</v>
      </c>
      <c r="D514" s="7">
        <v>45962</v>
      </c>
      <c r="E514">
        <v>10</v>
      </c>
      <c r="F514">
        <v>913341.81075563806</v>
      </c>
      <c r="G514">
        <v>8499.09</v>
      </c>
      <c r="H514" t="s">
        <v>57</v>
      </c>
      <c r="I514" t="s">
        <v>62</v>
      </c>
      <c r="J514">
        <v>10</v>
      </c>
      <c r="K514" t="s">
        <v>66</v>
      </c>
    </row>
    <row r="515" spans="1:11" x14ac:dyDescent="0.3">
      <c r="A515" t="s">
        <v>636</v>
      </c>
      <c r="B515" t="s">
        <v>47</v>
      </c>
      <c r="C515" s="7">
        <v>45556</v>
      </c>
      <c r="D515" s="7">
        <v>45556</v>
      </c>
      <c r="E515">
        <v>0</v>
      </c>
      <c r="F515">
        <v>452481.45633718034</v>
      </c>
      <c r="G515">
        <v>5448.56</v>
      </c>
      <c r="H515" t="s">
        <v>79</v>
      </c>
      <c r="I515" t="s">
        <v>69</v>
      </c>
      <c r="J515">
        <v>28</v>
      </c>
      <c r="K515" t="s">
        <v>89</v>
      </c>
    </row>
    <row r="516" spans="1:11" x14ac:dyDescent="0.3">
      <c r="A516" t="s">
        <v>637</v>
      </c>
      <c r="B516" t="s">
        <v>40</v>
      </c>
      <c r="C516" s="7">
        <v>45695</v>
      </c>
      <c r="D516" s="7">
        <v>45699</v>
      </c>
      <c r="E516">
        <v>4</v>
      </c>
      <c r="F516">
        <v>292784.43523562385</v>
      </c>
      <c r="G516">
        <v>4600.55</v>
      </c>
      <c r="H516" t="s">
        <v>65</v>
      </c>
      <c r="I516" t="s">
        <v>69</v>
      </c>
      <c r="J516">
        <v>35</v>
      </c>
      <c r="K516" t="s">
        <v>66</v>
      </c>
    </row>
    <row r="517" spans="1:11" x14ac:dyDescent="0.3">
      <c r="A517" t="s">
        <v>638</v>
      </c>
      <c r="B517" t="s">
        <v>50</v>
      </c>
      <c r="C517" s="7">
        <v>45618</v>
      </c>
      <c r="D517" s="7">
        <v>45626</v>
      </c>
      <c r="E517">
        <v>8</v>
      </c>
      <c r="F517">
        <v>422782.48003469029</v>
      </c>
      <c r="G517">
        <v>4836.25</v>
      </c>
      <c r="H517" t="s">
        <v>65</v>
      </c>
      <c r="I517" t="s">
        <v>62</v>
      </c>
      <c r="J517">
        <v>30</v>
      </c>
      <c r="K517" t="s">
        <v>70</v>
      </c>
    </row>
    <row r="518" spans="1:11" x14ac:dyDescent="0.3">
      <c r="A518" t="s">
        <v>639</v>
      </c>
      <c r="B518" t="s">
        <v>45</v>
      </c>
      <c r="C518" s="7">
        <v>45959</v>
      </c>
      <c r="D518" s="7">
        <v>45959</v>
      </c>
      <c r="E518">
        <v>0</v>
      </c>
      <c r="F518">
        <v>869694.94164956617</v>
      </c>
      <c r="G518">
        <v>591.04999999999995</v>
      </c>
      <c r="H518" t="s">
        <v>79</v>
      </c>
      <c r="I518" t="s">
        <v>69</v>
      </c>
      <c r="J518">
        <v>6</v>
      </c>
      <c r="K518" t="s">
        <v>66</v>
      </c>
    </row>
    <row r="519" spans="1:11" x14ac:dyDescent="0.3">
      <c r="A519" t="s">
        <v>640</v>
      </c>
      <c r="B519" t="s">
        <v>50</v>
      </c>
      <c r="C519" s="7">
        <v>45925</v>
      </c>
      <c r="D519" s="7">
        <v>45930</v>
      </c>
      <c r="E519">
        <v>5</v>
      </c>
      <c r="F519">
        <v>124029.54076103096</v>
      </c>
      <c r="G519">
        <v>8240.39</v>
      </c>
      <c r="H519" t="s">
        <v>91</v>
      </c>
      <c r="I519" t="s">
        <v>62</v>
      </c>
      <c r="J519">
        <v>4</v>
      </c>
      <c r="K519" t="s">
        <v>89</v>
      </c>
    </row>
    <row r="520" spans="1:11" x14ac:dyDescent="0.3">
      <c r="A520" t="s">
        <v>641</v>
      </c>
      <c r="B520" t="s">
        <v>52</v>
      </c>
      <c r="C520" s="7">
        <v>45941</v>
      </c>
      <c r="D520" s="7">
        <v>45950</v>
      </c>
      <c r="E520">
        <v>9</v>
      </c>
      <c r="F520">
        <v>95661.203594401741</v>
      </c>
      <c r="G520">
        <v>4500.54</v>
      </c>
      <c r="H520" t="s">
        <v>68</v>
      </c>
      <c r="I520" t="s">
        <v>62</v>
      </c>
      <c r="J520">
        <v>56</v>
      </c>
      <c r="K520" t="s">
        <v>59</v>
      </c>
    </row>
    <row r="521" spans="1:11" x14ac:dyDescent="0.3">
      <c r="A521" t="s">
        <v>642</v>
      </c>
      <c r="B521" t="s">
        <v>41</v>
      </c>
      <c r="C521" s="7">
        <v>45775</v>
      </c>
      <c r="D521" s="7">
        <v>45779</v>
      </c>
      <c r="E521">
        <v>4</v>
      </c>
      <c r="F521">
        <v>599720.01125739538</v>
      </c>
      <c r="G521">
        <v>10843.3</v>
      </c>
      <c r="H521" t="s">
        <v>57</v>
      </c>
      <c r="I521" t="s">
        <v>69</v>
      </c>
      <c r="J521">
        <v>40</v>
      </c>
      <c r="K521" t="s">
        <v>66</v>
      </c>
    </row>
    <row r="522" spans="1:11" x14ac:dyDescent="0.3">
      <c r="A522" t="s">
        <v>643</v>
      </c>
      <c r="B522" t="s">
        <v>39</v>
      </c>
      <c r="C522" s="7">
        <v>45914</v>
      </c>
      <c r="D522" s="7">
        <v>45928</v>
      </c>
      <c r="E522">
        <v>14</v>
      </c>
      <c r="F522">
        <v>118103.59176934526</v>
      </c>
      <c r="G522">
        <v>1633.58</v>
      </c>
      <c r="H522" t="s">
        <v>76</v>
      </c>
      <c r="I522" t="s">
        <v>83</v>
      </c>
      <c r="J522">
        <v>31</v>
      </c>
      <c r="K522" t="s">
        <v>59</v>
      </c>
    </row>
    <row r="523" spans="1:11" x14ac:dyDescent="0.3">
      <c r="A523" t="s">
        <v>644</v>
      </c>
      <c r="B523" t="s">
        <v>44</v>
      </c>
      <c r="C523" s="7">
        <v>45602</v>
      </c>
      <c r="D523" s="7">
        <v>45608</v>
      </c>
      <c r="E523">
        <v>6</v>
      </c>
      <c r="F523">
        <v>462491.41947854863</v>
      </c>
      <c r="G523">
        <v>2923.85</v>
      </c>
      <c r="H523" t="s">
        <v>76</v>
      </c>
      <c r="I523" t="s">
        <v>58</v>
      </c>
      <c r="J523">
        <v>17</v>
      </c>
      <c r="K523" t="s">
        <v>77</v>
      </c>
    </row>
    <row r="524" spans="1:11" x14ac:dyDescent="0.3">
      <c r="A524" t="s">
        <v>645</v>
      </c>
      <c r="B524" t="s">
        <v>52</v>
      </c>
      <c r="C524" s="7">
        <v>45742</v>
      </c>
      <c r="D524" s="7">
        <v>45748</v>
      </c>
      <c r="E524">
        <v>6</v>
      </c>
      <c r="F524">
        <v>142043.66351582092</v>
      </c>
      <c r="G524">
        <v>520.54</v>
      </c>
      <c r="H524" t="s">
        <v>76</v>
      </c>
      <c r="I524" t="s">
        <v>73</v>
      </c>
      <c r="J524">
        <v>11</v>
      </c>
      <c r="K524" t="s">
        <v>77</v>
      </c>
    </row>
    <row r="525" spans="1:11" x14ac:dyDescent="0.3">
      <c r="A525" t="s">
        <v>646</v>
      </c>
      <c r="B525" t="s">
        <v>45</v>
      </c>
      <c r="C525" s="7">
        <v>45810</v>
      </c>
      <c r="D525" s="7">
        <v>45820</v>
      </c>
      <c r="E525">
        <v>10</v>
      </c>
      <c r="F525">
        <v>98149.085930996924</v>
      </c>
      <c r="G525">
        <v>8913.7000000000007</v>
      </c>
      <c r="H525" t="s">
        <v>61</v>
      </c>
      <c r="I525" t="s">
        <v>62</v>
      </c>
      <c r="J525">
        <v>26</v>
      </c>
      <c r="K525" t="s">
        <v>89</v>
      </c>
    </row>
    <row r="526" spans="1:11" x14ac:dyDescent="0.3">
      <c r="A526" t="s">
        <v>647</v>
      </c>
      <c r="B526" t="s">
        <v>45</v>
      </c>
      <c r="C526" s="7">
        <v>45935</v>
      </c>
      <c r="D526" s="7">
        <v>45937</v>
      </c>
      <c r="E526">
        <v>2</v>
      </c>
      <c r="F526">
        <v>29735.179849384596</v>
      </c>
      <c r="G526">
        <v>6964.82</v>
      </c>
      <c r="H526" t="s">
        <v>91</v>
      </c>
      <c r="I526" t="s">
        <v>69</v>
      </c>
      <c r="J526">
        <v>1</v>
      </c>
      <c r="K526" t="s">
        <v>77</v>
      </c>
    </row>
    <row r="527" spans="1:11" x14ac:dyDescent="0.3">
      <c r="A527" t="s">
        <v>649</v>
      </c>
      <c r="B527" t="s">
        <v>38</v>
      </c>
      <c r="C527" s="7">
        <v>45875</v>
      </c>
      <c r="D527" s="7">
        <v>45888</v>
      </c>
      <c r="E527">
        <v>13</v>
      </c>
      <c r="F527">
        <v>820758.54379721801</v>
      </c>
      <c r="G527">
        <v>3319.55</v>
      </c>
      <c r="H527" t="s">
        <v>65</v>
      </c>
      <c r="I527" t="s">
        <v>58</v>
      </c>
      <c r="J527">
        <v>25</v>
      </c>
      <c r="K527" t="s">
        <v>77</v>
      </c>
    </row>
    <row r="528" spans="1:11" x14ac:dyDescent="0.3">
      <c r="A528" t="s">
        <v>650</v>
      </c>
      <c r="B528" t="s">
        <v>40</v>
      </c>
      <c r="C528" s="7">
        <v>45961</v>
      </c>
      <c r="D528" s="7">
        <v>45971</v>
      </c>
      <c r="E528">
        <v>10</v>
      </c>
      <c r="F528">
        <v>686100.4038478838</v>
      </c>
      <c r="G528">
        <v>5221.51</v>
      </c>
      <c r="H528" t="s">
        <v>65</v>
      </c>
      <c r="I528" t="s">
        <v>73</v>
      </c>
      <c r="J528">
        <v>18</v>
      </c>
      <c r="K528" t="s">
        <v>70</v>
      </c>
    </row>
    <row r="529" spans="1:11" x14ac:dyDescent="0.3">
      <c r="A529" t="s">
        <v>651</v>
      </c>
      <c r="B529" t="s">
        <v>39</v>
      </c>
      <c r="C529" s="7">
        <v>45997</v>
      </c>
      <c r="D529" s="7">
        <v>46004</v>
      </c>
      <c r="E529">
        <v>7</v>
      </c>
      <c r="F529">
        <v>578452.01533171523</v>
      </c>
      <c r="G529">
        <v>2869.54</v>
      </c>
      <c r="H529" t="s">
        <v>65</v>
      </c>
      <c r="I529" t="s">
        <v>58</v>
      </c>
      <c r="J529">
        <v>50</v>
      </c>
      <c r="K529" t="s">
        <v>77</v>
      </c>
    </row>
    <row r="530" spans="1:11" x14ac:dyDescent="0.3">
      <c r="A530" t="s">
        <v>652</v>
      </c>
      <c r="B530" t="s">
        <v>41</v>
      </c>
      <c r="C530" s="7">
        <v>45452</v>
      </c>
      <c r="D530" s="7">
        <v>45459</v>
      </c>
      <c r="E530">
        <v>7</v>
      </c>
      <c r="F530">
        <v>890276.97563408653</v>
      </c>
      <c r="G530">
        <v>7250.91</v>
      </c>
      <c r="H530" t="s">
        <v>79</v>
      </c>
      <c r="I530" t="s">
        <v>73</v>
      </c>
      <c r="J530">
        <v>50</v>
      </c>
      <c r="K530" t="s">
        <v>66</v>
      </c>
    </row>
    <row r="531" spans="1:11" x14ac:dyDescent="0.3">
      <c r="A531" t="s">
        <v>653</v>
      </c>
      <c r="B531" t="s">
        <v>53</v>
      </c>
      <c r="C531" s="7">
        <v>45768</v>
      </c>
      <c r="D531" s="7">
        <v>45780</v>
      </c>
      <c r="E531">
        <v>12</v>
      </c>
      <c r="F531">
        <v>927390.69240055711</v>
      </c>
      <c r="G531">
        <v>13851.16</v>
      </c>
      <c r="H531" t="s">
        <v>57</v>
      </c>
      <c r="I531" t="s">
        <v>58</v>
      </c>
      <c r="J531">
        <v>17</v>
      </c>
      <c r="K531" t="s">
        <v>59</v>
      </c>
    </row>
    <row r="532" spans="1:11" x14ac:dyDescent="0.3">
      <c r="A532" t="s">
        <v>654</v>
      </c>
      <c r="B532" t="s">
        <v>44</v>
      </c>
      <c r="C532" s="7">
        <v>45959</v>
      </c>
      <c r="D532" s="7">
        <v>45967</v>
      </c>
      <c r="E532">
        <v>8</v>
      </c>
      <c r="F532">
        <v>192833.42890919154</v>
      </c>
      <c r="G532">
        <v>3936.93</v>
      </c>
      <c r="H532" t="s">
        <v>68</v>
      </c>
      <c r="I532" t="s">
        <v>62</v>
      </c>
      <c r="J532">
        <v>15</v>
      </c>
      <c r="K532" t="s">
        <v>66</v>
      </c>
    </row>
    <row r="533" spans="1:11" x14ac:dyDescent="0.3">
      <c r="A533" t="s">
        <v>655</v>
      </c>
      <c r="B533" t="s">
        <v>44</v>
      </c>
      <c r="C533" s="7">
        <v>45757</v>
      </c>
      <c r="D533" s="7">
        <v>45758</v>
      </c>
      <c r="E533">
        <v>1</v>
      </c>
      <c r="F533">
        <v>555915.62496483501</v>
      </c>
      <c r="G533">
        <v>9510.91</v>
      </c>
      <c r="H533" t="s">
        <v>65</v>
      </c>
      <c r="I533" t="s">
        <v>83</v>
      </c>
      <c r="J533">
        <v>14</v>
      </c>
      <c r="K533" t="s">
        <v>59</v>
      </c>
    </row>
    <row r="534" spans="1:11" x14ac:dyDescent="0.3">
      <c r="A534" t="s">
        <v>656</v>
      </c>
      <c r="B534" t="s">
        <v>53</v>
      </c>
      <c r="C534" s="7">
        <v>45720</v>
      </c>
      <c r="D534" s="7">
        <v>45729</v>
      </c>
      <c r="E534">
        <v>9</v>
      </c>
      <c r="F534">
        <v>522180.90590852161</v>
      </c>
      <c r="G534">
        <v>1265.08</v>
      </c>
      <c r="H534" t="s">
        <v>76</v>
      </c>
      <c r="I534" t="s">
        <v>58</v>
      </c>
      <c r="J534">
        <v>32</v>
      </c>
      <c r="K534" t="s">
        <v>66</v>
      </c>
    </row>
    <row r="535" spans="1:11" x14ac:dyDescent="0.3">
      <c r="A535" t="s">
        <v>657</v>
      </c>
      <c r="B535" t="s">
        <v>47</v>
      </c>
      <c r="C535" s="7">
        <v>45881</v>
      </c>
      <c r="D535" s="7">
        <v>45886</v>
      </c>
      <c r="E535">
        <v>5</v>
      </c>
      <c r="F535">
        <v>590451.90325239243</v>
      </c>
      <c r="G535">
        <v>8468.7199999999993</v>
      </c>
      <c r="H535" t="s">
        <v>76</v>
      </c>
      <c r="I535" t="s">
        <v>83</v>
      </c>
      <c r="J535">
        <v>29</v>
      </c>
      <c r="K535" t="s">
        <v>89</v>
      </c>
    </row>
    <row r="536" spans="1:11" x14ac:dyDescent="0.3">
      <c r="A536" t="s">
        <v>658</v>
      </c>
      <c r="B536" t="s">
        <v>52</v>
      </c>
      <c r="C536" s="7">
        <v>45421</v>
      </c>
      <c r="D536" s="7">
        <v>45423</v>
      </c>
      <c r="E536">
        <v>2</v>
      </c>
      <c r="F536">
        <v>746090.95135203248</v>
      </c>
      <c r="G536">
        <v>4613.76</v>
      </c>
      <c r="H536" t="s">
        <v>57</v>
      </c>
      <c r="I536" t="s">
        <v>69</v>
      </c>
      <c r="J536">
        <v>15</v>
      </c>
      <c r="K536" t="s">
        <v>59</v>
      </c>
    </row>
    <row r="537" spans="1:11" x14ac:dyDescent="0.3">
      <c r="A537" t="s">
        <v>659</v>
      </c>
      <c r="B537" t="s">
        <v>38</v>
      </c>
      <c r="C537" s="7">
        <v>45705</v>
      </c>
      <c r="D537" s="7">
        <v>45719</v>
      </c>
      <c r="E537">
        <v>14</v>
      </c>
      <c r="F537">
        <v>789543.46457477566</v>
      </c>
      <c r="G537">
        <v>5978.31</v>
      </c>
      <c r="H537" t="s">
        <v>61</v>
      </c>
      <c r="I537" t="s">
        <v>83</v>
      </c>
      <c r="J537">
        <v>56</v>
      </c>
      <c r="K537" t="s">
        <v>66</v>
      </c>
    </row>
    <row r="538" spans="1:11" x14ac:dyDescent="0.3">
      <c r="A538" t="s">
        <v>660</v>
      </c>
      <c r="B538" t="s">
        <v>39</v>
      </c>
      <c r="C538" s="7">
        <v>45801</v>
      </c>
      <c r="D538" s="7">
        <v>45814</v>
      </c>
      <c r="E538">
        <v>13</v>
      </c>
      <c r="F538">
        <v>494814.2002059748</v>
      </c>
      <c r="G538">
        <v>9246.4599999999991</v>
      </c>
      <c r="H538" t="s">
        <v>61</v>
      </c>
      <c r="I538" t="s">
        <v>69</v>
      </c>
      <c r="J538">
        <v>40</v>
      </c>
      <c r="K538" t="s">
        <v>59</v>
      </c>
    </row>
    <row r="539" spans="1:11" x14ac:dyDescent="0.3">
      <c r="A539" t="s">
        <v>661</v>
      </c>
      <c r="B539" t="s">
        <v>41</v>
      </c>
      <c r="C539" s="7">
        <v>45899</v>
      </c>
      <c r="D539" s="7">
        <v>45913</v>
      </c>
      <c r="E539">
        <v>14</v>
      </c>
      <c r="F539">
        <v>722311.57254177285</v>
      </c>
      <c r="G539">
        <v>13702.33</v>
      </c>
      <c r="H539" t="s">
        <v>57</v>
      </c>
      <c r="I539" t="s">
        <v>73</v>
      </c>
      <c r="J539">
        <v>32</v>
      </c>
      <c r="K539" t="s">
        <v>59</v>
      </c>
    </row>
    <row r="540" spans="1:11" x14ac:dyDescent="0.3">
      <c r="A540" t="s">
        <v>662</v>
      </c>
      <c r="B540" t="s">
        <v>43</v>
      </c>
      <c r="C540" s="7">
        <v>45948</v>
      </c>
      <c r="D540" s="7">
        <v>45959</v>
      </c>
      <c r="E540">
        <v>11</v>
      </c>
      <c r="F540">
        <v>584710.78289485257</v>
      </c>
      <c r="G540">
        <v>1392.78</v>
      </c>
      <c r="H540" t="s">
        <v>91</v>
      </c>
      <c r="I540" t="s">
        <v>69</v>
      </c>
      <c r="J540">
        <v>9</v>
      </c>
      <c r="K540" t="s">
        <v>70</v>
      </c>
    </row>
    <row r="541" spans="1:11" x14ac:dyDescent="0.3">
      <c r="A541" t="s">
        <v>663</v>
      </c>
      <c r="B541" t="s">
        <v>39</v>
      </c>
      <c r="C541" s="7">
        <v>45826</v>
      </c>
      <c r="D541" s="7">
        <v>45829</v>
      </c>
      <c r="E541">
        <v>3</v>
      </c>
      <c r="F541">
        <v>620702.82485753787</v>
      </c>
      <c r="G541">
        <v>6586.43</v>
      </c>
      <c r="H541" t="s">
        <v>61</v>
      </c>
      <c r="I541" t="s">
        <v>73</v>
      </c>
      <c r="J541">
        <v>2</v>
      </c>
      <c r="K541" t="s">
        <v>59</v>
      </c>
    </row>
    <row r="542" spans="1:11" x14ac:dyDescent="0.3">
      <c r="A542" t="s">
        <v>664</v>
      </c>
      <c r="B542" t="s">
        <v>50</v>
      </c>
      <c r="C542" s="7">
        <v>46022</v>
      </c>
      <c r="D542" s="7">
        <v>46035</v>
      </c>
      <c r="E542">
        <v>13</v>
      </c>
      <c r="F542">
        <v>363423.90672633226</v>
      </c>
      <c r="G542">
        <v>10317.209999999999</v>
      </c>
      <c r="H542" t="s">
        <v>57</v>
      </c>
      <c r="I542" t="s">
        <v>58</v>
      </c>
      <c r="J542">
        <v>31</v>
      </c>
      <c r="K542" t="s">
        <v>59</v>
      </c>
    </row>
    <row r="543" spans="1:11" x14ac:dyDescent="0.3">
      <c r="A543" t="s">
        <v>665</v>
      </c>
      <c r="B543" t="s">
        <v>50</v>
      </c>
      <c r="C543" s="7">
        <v>45624</v>
      </c>
      <c r="D543" s="7">
        <v>45630</v>
      </c>
      <c r="E543">
        <v>6</v>
      </c>
      <c r="F543">
        <v>669130.46760352596</v>
      </c>
      <c r="G543">
        <v>8333.26</v>
      </c>
      <c r="H543" t="s">
        <v>57</v>
      </c>
      <c r="I543" t="s">
        <v>69</v>
      </c>
      <c r="J543">
        <v>8</v>
      </c>
      <c r="K543" t="s">
        <v>77</v>
      </c>
    </row>
    <row r="544" spans="1:11" x14ac:dyDescent="0.3">
      <c r="A544" t="s">
        <v>666</v>
      </c>
      <c r="B544" t="s">
        <v>43</v>
      </c>
      <c r="C544" s="7">
        <v>45840</v>
      </c>
      <c r="D544" s="7">
        <v>45854</v>
      </c>
      <c r="E544">
        <v>14</v>
      </c>
      <c r="F544">
        <v>58175.924109802902</v>
      </c>
      <c r="G544">
        <v>3634.09</v>
      </c>
      <c r="H544" t="s">
        <v>91</v>
      </c>
      <c r="I544" t="s">
        <v>83</v>
      </c>
      <c r="J544">
        <v>15</v>
      </c>
      <c r="K544" t="s">
        <v>89</v>
      </c>
    </row>
    <row r="545" spans="1:11" x14ac:dyDescent="0.3">
      <c r="A545" t="s">
        <v>667</v>
      </c>
      <c r="B545" t="s">
        <v>50</v>
      </c>
      <c r="C545" s="7">
        <v>45574</v>
      </c>
      <c r="D545" s="7">
        <v>45587</v>
      </c>
      <c r="E545">
        <v>13</v>
      </c>
      <c r="F545">
        <v>57189.536244412979</v>
      </c>
      <c r="G545">
        <v>1038.49</v>
      </c>
      <c r="H545" t="s">
        <v>68</v>
      </c>
      <c r="I545" t="s">
        <v>73</v>
      </c>
      <c r="J545">
        <v>19</v>
      </c>
      <c r="K545" t="s">
        <v>59</v>
      </c>
    </row>
    <row r="546" spans="1:11" x14ac:dyDescent="0.3">
      <c r="A546" t="s">
        <v>668</v>
      </c>
      <c r="B546" t="s">
        <v>43</v>
      </c>
      <c r="C546" s="7">
        <v>45836</v>
      </c>
      <c r="D546" s="7">
        <v>45840</v>
      </c>
      <c r="E546">
        <v>4</v>
      </c>
      <c r="F546">
        <v>126347.83806217276</v>
      </c>
      <c r="G546">
        <v>6087.72</v>
      </c>
      <c r="H546" t="s">
        <v>65</v>
      </c>
      <c r="I546" t="s">
        <v>83</v>
      </c>
      <c r="J546">
        <v>43</v>
      </c>
      <c r="K546" t="s">
        <v>59</v>
      </c>
    </row>
    <row r="547" spans="1:11" x14ac:dyDescent="0.3">
      <c r="A547" t="s">
        <v>669</v>
      </c>
      <c r="B547" t="s">
        <v>39</v>
      </c>
      <c r="C547" s="7">
        <v>45612</v>
      </c>
      <c r="D547" s="7">
        <v>45612</v>
      </c>
      <c r="E547">
        <v>0</v>
      </c>
      <c r="F547">
        <v>931749.09132670378</v>
      </c>
      <c r="G547">
        <v>10535.46</v>
      </c>
      <c r="H547" t="s">
        <v>65</v>
      </c>
      <c r="I547" t="s">
        <v>69</v>
      </c>
      <c r="J547">
        <v>8</v>
      </c>
      <c r="K547" t="s">
        <v>59</v>
      </c>
    </row>
    <row r="548" spans="1:11" x14ac:dyDescent="0.3">
      <c r="A548" t="s">
        <v>670</v>
      </c>
      <c r="B548" t="s">
        <v>52</v>
      </c>
      <c r="C548" s="7">
        <v>45584</v>
      </c>
      <c r="D548" s="7">
        <v>45593</v>
      </c>
      <c r="E548">
        <v>9</v>
      </c>
      <c r="F548">
        <v>367970.31003635225</v>
      </c>
      <c r="G548">
        <v>12442.25</v>
      </c>
      <c r="H548" t="s">
        <v>57</v>
      </c>
      <c r="I548" t="s">
        <v>83</v>
      </c>
      <c r="J548">
        <v>18</v>
      </c>
      <c r="K548" t="s">
        <v>77</v>
      </c>
    </row>
    <row r="549" spans="1:11" x14ac:dyDescent="0.3">
      <c r="A549" t="s">
        <v>671</v>
      </c>
      <c r="B549" t="s">
        <v>45</v>
      </c>
      <c r="C549" s="7">
        <v>45710</v>
      </c>
      <c r="D549" s="7">
        <v>45716</v>
      </c>
      <c r="E549">
        <v>6</v>
      </c>
      <c r="F549">
        <v>424794.63506209227</v>
      </c>
      <c r="G549">
        <v>3521.84</v>
      </c>
      <c r="H549" t="s">
        <v>68</v>
      </c>
      <c r="I549" t="s">
        <v>73</v>
      </c>
      <c r="J549">
        <v>43</v>
      </c>
      <c r="K549" t="s">
        <v>89</v>
      </c>
    </row>
    <row r="550" spans="1:11" x14ac:dyDescent="0.3">
      <c r="A550" t="s">
        <v>672</v>
      </c>
      <c r="B550" t="s">
        <v>48</v>
      </c>
      <c r="C550" s="7">
        <v>45968</v>
      </c>
      <c r="D550" s="7">
        <v>45980</v>
      </c>
      <c r="E550">
        <v>12</v>
      </c>
      <c r="F550">
        <v>333433.39659884939</v>
      </c>
      <c r="G550">
        <v>584.67999999999995</v>
      </c>
      <c r="H550" t="s">
        <v>91</v>
      </c>
      <c r="I550" t="s">
        <v>62</v>
      </c>
      <c r="J550">
        <v>60</v>
      </c>
      <c r="K550" t="s">
        <v>70</v>
      </c>
    </row>
    <row r="551" spans="1:11" x14ac:dyDescent="0.3">
      <c r="A551" t="s">
        <v>673</v>
      </c>
      <c r="B551" t="s">
        <v>50</v>
      </c>
      <c r="C551" s="7">
        <v>45938</v>
      </c>
      <c r="D551" s="7">
        <v>45944</v>
      </c>
      <c r="E551">
        <v>6</v>
      </c>
      <c r="F551">
        <v>825240.7969627406</v>
      </c>
      <c r="G551">
        <v>11782.67</v>
      </c>
      <c r="H551" t="s">
        <v>65</v>
      </c>
      <c r="I551" t="s">
        <v>83</v>
      </c>
      <c r="J551">
        <v>52</v>
      </c>
      <c r="K551" t="s">
        <v>59</v>
      </c>
    </row>
    <row r="552" spans="1:11" x14ac:dyDescent="0.3">
      <c r="A552" t="s">
        <v>674</v>
      </c>
      <c r="B552" t="s">
        <v>45</v>
      </c>
      <c r="C552" s="7">
        <v>45769</v>
      </c>
      <c r="D552" s="7">
        <v>45783</v>
      </c>
      <c r="E552">
        <v>14</v>
      </c>
      <c r="F552">
        <v>17593.018340911309</v>
      </c>
      <c r="G552">
        <v>12033.92</v>
      </c>
      <c r="H552" t="s">
        <v>61</v>
      </c>
      <c r="I552" t="s">
        <v>83</v>
      </c>
      <c r="J552">
        <v>16</v>
      </c>
      <c r="K552" t="s">
        <v>77</v>
      </c>
    </row>
    <row r="553" spans="1:11" x14ac:dyDescent="0.3">
      <c r="A553" t="s">
        <v>675</v>
      </c>
      <c r="B553" t="s">
        <v>43</v>
      </c>
      <c r="C553" s="7">
        <v>45617</v>
      </c>
      <c r="D553" s="7">
        <v>45626</v>
      </c>
      <c r="E553">
        <v>9</v>
      </c>
      <c r="F553">
        <v>263608.18733829533</v>
      </c>
      <c r="G553">
        <v>4177.46</v>
      </c>
      <c r="H553" t="s">
        <v>61</v>
      </c>
      <c r="I553" t="s">
        <v>58</v>
      </c>
      <c r="J553">
        <v>1</v>
      </c>
      <c r="K553" t="s">
        <v>59</v>
      </c>
    </row>
    <row r="554" spans="1:11" x14ac:dyDescent="0.3">
      <c r="A554" t="s">
        <v>676</v>
      </c>
      <c r="B554" t="s">
        <v>47</v>
      </c>
      <c r="C554" s="7">
        <v>45877</v>
      </c>
      <c r="D554" s="7">
        <v>45890</v>
      </c>
      <c r="E554">
        <v>13</v>
      </c>
      <c r="F554">
        <v>172940.53261555845</v>
      </c>
      <c r="G554">
        <v>7048.32</v>
      </c>
      <c r="H554" t="s">
        <v>68</v>
      </c>
      <c r="I554" t="s">
        <v>83</v>
      </c>
      <c r="J554">
        <v>30</v>
      </c>
      <c r="K554" t="s">
        <v>59</v>
      </c>
    </row>
    <row r="555" spans="1:11" x14ac:dyDescent="0.3">
      <c r="A555" t="s">
        <v>677</v>
      </c>
      <c r="B555" t="s">
        <v>39</v>
      </c>
      <c r="C555" s="7">
        <v>45774</v>
      </c>
      <c r="D555" s="7">
        <v>45786</v>
      </c>
      <c r="E555">
        <v>12</v>
      </c>
      <c r="F555">
        <v>750220.06114784698</v>
      </c>
      <c r="G555">
        <v>4041.2</v>
      </c>
      <c r="H555" t="s">
        <v>68</v>
      </c>
      <c r="I555" t="s">
        <v>73</v>
      </c>
      <c r="J555">
        <v>15</v>
      </c>
      <c r="K555" t="s">
        <v>66</v>
      </c>
    </row>
    <row r="556" spans="1:11" x14ac:dyDescent="0.3">
      <c r="A556" t="s">
        <v>678</v>
      </c>
      <c r="B556" t="s">
        <v>52</v>
      </c>
      <c r="C556" s="7">
        <v>45636</v>
      </c>
      <c r="D556" s="7">
        <v>45639</v>
      </c>
      <c r="E556">
        <v>3</v>
      </c>
      <c r="F556">
        <v>111848.63510588107</v>
      </c>
      <c r="G556">
        <v>769.83</v>
      </c>
      <c r="H556" t="s">
        <v>65</v>
      </c>
      <c r="I556" t="s">
        <v>58</v>
      </c>
      <c r="J556">
        <v>56</v>
      </c>
      <c r="K556" t="s">
        <v>89</v>
      </c>
    </row>
    <row r="557" spans="1:11" x14ac:dyDescent="0.3">
      <c r="A557" t="s">
        <v>679</v>
      </c>
      <c r="B557" t="s">
        <v>38</v>
      </c>
      <c r="C557" s="7">
        <v>45791</v>
      </c>
      <c r="D557" s="7">
        <v>45791</v>
      </c>
      <c r="E557">
        <v>0</v>
      </c>
      <c r="F557">
        <v>906865.18676118786</v>
      </c>
      <c r="G557">
        <v>14881.17</v>
      </c>
      <c r="H557" t="s">
        <v>61</v>
      </c>
      <c r="I557" t="s">
        <v>83</v>
      </c>
      <c r="J557">
        <v>44</v>
      </c>
      <c r="K557" t="s">
        <v>70</v>
      </c>
    </row>
    <row r="558" spans="1:11" x14ac:dyDescent="0.3">
      <c r="A558" t="s">
        <v>680</v>
      </c>
      <c r="B558" t="s">
        <v>47</v>
      </c>
      <c r="C558" s="7">
        <v>45505</v>
      </c>
      <c r="D558" s="7">
        <v>45506</v>
      </c>
      <c r="E558">
        <v>1</v>
      </c>
      <c r="F558">
        <v>484538.10923743428</v>
      </c>
      <c r="G558">
        <v>1875.1</v>
      </c>
      <c r="H558" t="s">
        <v>57</v>
      </c>
      <c r="I558" t="s">
        <v>73</v>
      </c>
      <c r="J558">
        <v>14</v>
      </c>
      <c r="K558" t="s">
        <v>70</v>
      </c>
    </row>
    <row r="559" spans="1:11" x14ac:dyDescent="0.3">
      <c r="A559" t="s">
        <v>681</v>
      </c>
      <c r="B559" t="s">
        <v>52</v>
      </c>
      <c r="C559" s="7">
        <v>45683</v>
      </c>
      <c r="D559" s="7">
        <v>45693</v>
      </c>
      <c r="E559">
        <v>10</v>
      </c>
      <c r="F559">
        <v>408135.28714109282</v>
      </c>
      <c r="G559">
        <v>4389.6499999999996</v>
      </c>
      <c r="H559" t="s">
        <v>57</v>
      </c>
      <c r="I559" t="s">
        <v>62</v>
      </c>
      <c r="J559">
        <v>39</v>
      </c>
      <c r="K559" t="s">
        <v>70</v>
      </c>
    </row>
    <row r="560" spans="1:11" x14ac:dyDescent="0.3">
      <c r="A560" t="s">
        <v>682</v>
      </c>
      <c r="B560" t="s">
        <v>39</v>
      </c>
      <c r="C560" s="7">
        <v>45892</v>
      </c>
      <c r="D560" s="7">
        <v>45900</v>
      </c>
      <c r="E560">
        <v>8</v>
      </c>
      <c r="F560">
        <v>682832.55737819208</v>
      </c>
      <c r="G560">
        <v>11182.24</v>
      </c>
      <c r="H560" t="s">
        <v>79</v>
      </c>
      <c r="I560" t="s">
        <v>58</v>
      </c>
      <c r="J560">
        <v>46</v>
      </c>
      <c r="K560" t="s">
        <v>70</v>
      </c>
    </row>
    <row r="561" spans="1:11" x14ac:dyDescent="0.3">
      <c r="A561" t="s">
        <v>684</v>
      </c>
      <c r="B561" t="s">
        <v>41</v>
      </c>
      <c r="C561" s="7">
        <v>45824</v>
      </c>
      <c r="D561" s="7">
        <v>45829</v>
      </c>
      <c r="E561">
        <v>5</v>
      </c>
      <c r="F561">
        <v>233986.06417921302</v>
      </c>
      <c r="G561">
        <v>11561.12</v>
      </c>
      <c r="H561" t="s">
        <v>61</v>
      </c>
      <c r="I561" t="s">
        <v>73</v>
      </c>
      <c r="J561">
        <v>30</v>
      </c>
      <c r="K561" t="s">
        <v>70</v>
      </c>
    </row>
    <row r="562" spans="1:11" x14ac:dyDescent="0.3">
      <c r="A562" t="s">
        <v>685</v>
      </c>
      <c r="B562" t="s">
        <v>49</v>
      </c>
      <c r="C562" s="7">
        <v>45816</v>
      </c>
      <c r="D562" s="7">
        <v>45821</v>
      </c>
      <c r="E562">
        <v>5</v>
      </c>
      <c r="F562">
        <v>78845.608786804834</v>
      </c>
      <c r="G562">
        <v>8494.77</v>
      </c>
      <c r="H562" t="s">
        <v>57</v>
      </c>
      <c r="I562" t="s">
        <v>62</v>
      </c>
      <c r="J562">
        <v>42</v>
      </c>
      <c r="K562" t="s">
        <v>89</v>
      </c>
    </row>
    <row r="563" spans="1:11" x14ac:dyDescent="0.3">
      <c r="A563" t="s">
        <v>686</v>
      </c>
      <c r="B563" t="s">
        <v>47</v>
      </c>
      <c r="C563" s="7">
        <v>45731</v>
      </c>
      <c r="D563" s="7">
        <v>45736</v>
      </c>
      <c r="E563">
        <v>5</v>
      </c>
      <c r="F563">
        <v>301186.19871493994</v>
      </c>
      <c r="G563">
        <v>1406.29</v>
      </c>
      <c r="H563" t="s">
        <v>68</v>
      </c>
      <c r="I563" t="s">
        <v>58</v>
      </c>
      <c r="J563">
        <v>10</v>
      </c>
      <c r="K563" t="s">
        <v>77</v>
      </c>
    </row>
    <row r="564" spans="1:11" x14ac:dyDescent="0.3">
      <c r="A564" t="s">
        <v>687</v>
      </c>
      <c r="B564" t="s">
        <v>48</v>
      </c>
      <c r="C564" s="7">
        <v>45852</v>
      </c>
      <c r="D564" s="7">
        <v>45852</v>
      </c>
      <c r="E564">
        <v>0</v>
      </c>
      <c r="F564">
        <v>161533.23959404984</v>
      </c>
      <c r="G564">
        <v>6395.66</v>
      </c>
      <c r="H564" t="s">
        <v>79</v>
      </c>
      <c r="I564" t="s">
        <v>58</v>
      </c>
      <c r="J564">
        <v>46</v>
      </c>
      <c r="K564" t="s">
        <v>89</v>
      </c>
    </row>
    <row r="565" spans="1:11" x14ac:dyDescent="0.3">
      <c r="A565" t="s">
        <v>688</v>
      </c>
      <c r="B565" t="s">
        <v>40</v>
      </c>
      <c r="C565" s="7">
        <v>45759</v>
      </c>
      <c r="D565" s="7">
        <v>45759</v>
      </c>
      <c r="E565">
        <v>0</v>
      </c>
      <c r="F565">
        <v>658409.13652317715</v>
      </c>
      <c r="G565">
        <v>14851.02</v>
      </c>
      <c r="H565" t="s">
        <v>76</v>
      </c>
      <c r="I565" t="s">
        <v>58</v>
      </c>
      <c r="J565">
        <v>56</v>
      </c>
      <c r="K565" t="s">
        <v>77</v>
      </c>
    </row>
    <row r="566" spans="1:11" x14ac:dyDescent="0.3">
      <c r="A566" t="s">
        <v>689</v>
      </c>
      <c r="B566" t="s">
        <v>53</v>
      </c>
      <c r="C566" s="7">
        <v>45615</v>
      </c>
      <c r="D566" s="7">
        <v>45621</v>
      </c>
      <c r="E566">
        <v>6</v>
      </c>
      <c r="F566">
        <v>664943.55916266923</v>
      </c>
      <c r="G566">
        <v>3773.24</v>
      </c>
      <c r="H566" t="s">
        <v>61</v>
      </c>
      <c r="I566" t="s">
        <v>83</v>
      </c>
      <c r="J566">
        <v>22</v>
      </c>
      <c r="K566" t="s">
        <v>70</v>
      </c>
    </row>
    <row r="567" spans="1:11" x14ac:dyDescent="0.3">
      <c r="A567" t="s">
        <v>690</v>
      </c>
      <c r="B567" t="s">
        <v>49</v>
      </c>
      <c r="C567" s="7">
        <v>45657</v>
      </c>
      <c r="D567" s="7">
        <v>45664</v>
      </c>
      <c r="E567">
        <v>7</v>
      </c>
      <c r="F567">
        <v>867905.72425304109</v>
      </c>
      <c r="G567">
        <v>9536.31</v>
      </c>
      <c r="H567" t="s">
        <v>65</v>
      </c>
      <c r="I567" t="s">
        <v>69</v>
      </c>
      <c r="J567">
        <v>19</v>
      </c>
      <c r="K567" t="s">
        <v>89</v>
      </c>
    </row>
    <row r="568" spans="1:11" x14ac:dyDescent="0.3">
      <c r="A568" t="s">
        <v>691</v>
      </c>
      <c r="B568" t="s">
        <v>49</v>
      </c>
      <c r="C568" s="7">
        <v>45978</v>
      </c>
      <c r="D568" s="7">
        <v>45992</v>
      </c>
      <c r="E568">
        <v>14</v>
      </c>
      <c r="F568">
        <v>781907.05677980918</v>
      </c>
      <c r="G568">
        <v>7738.73</v>
      </c>
      <c r="H568" t="s">
        <v>76</v>
      </c>
      <c r="I568" t="s">
        <v>83</v>
      </c>
      <c r="J568">
        <v>38</v>
      </c>
      <c r="K568" t="s">
        <v>77</v>
      </c>
    </row>
    <row r="569" spans="1:11" x14ac:dyDescent="0.3">
      <c r="A569" t="s">
        <v>692</v>
      </c>
      <c r="B569" t="s">
        <v>48</v>
      </c>
      <c r="C569" s="7">
        <v>45999</v>
      </c>
      <c r="D569" s="7">
        <v>46004</v>
      </c>
      <c r="E569">
        <v>5</v>
      </c>
      <c r="F569">
        <v>419635.94720459264</v>
      </c>
      <c r="G569">
        <v>7728.27</v>
      </c>
      <c r="H569" t="s">
        <v>91</v>
      </c>
      <c r="I569" t="s">
        <v>62</v>
      </c>
      <c r="J569">
        <v>50</v>
      </c>
      <c r="K569" t="s">
        <v>59</v>
      </c>
    </row>
    <row r="570" spans="1:11" x14ac:dyDescent="0.3">
      <c r="A570" t="s">
        <v>693</v>
      </c>
      <c r="B570" t="s">
        <v>42</v>
      </c>
      <c r="C570" s="7">
        <v>45564</v>
      </c>
      <c r="D570" s="7">
        <v>45573</v>
      </c>
      <c r="E570">
        <v>9</v>
      </c>
      <c r="F570">
        <v>494736.07676267606</v>
      </c>
      <c r="G570">
        <v>7972.87</v>
      </c>
      <c r="H570" t="s">
        <v>91</v>
      </c>
      <c r="I570" t="s">
        <v>69</v>
      </c>
      <c r="J570">
        <v>19</v>
      </c>
      <c r="K570" t="s">
        <v>70</v>
      </c>
    </row>
    <row r="571" spans="1:11" x14ac:dyDescent="0.3">
      <c r="A571" t="s">
        <v>694</v>
      </c>
      <c r="B571" t="s">
        <v>43</v>
      </c>
      <c r="C571" s="7">
        <v>45398</v>
      </c>
      <c r="D571" s="7">
        <v>45411</v>
      </c>
      <c r="E571">
        <v>13</v>
      </c>
      <c r="F571">
        <v>900549.89085289952</v>
      </c>
      <c r="G571">
        <v>13259.29</v>
      </c>
      <c r="H571" t="s">
        <v>65</v>
      </c>
      <c r="I571" t="s">
        <v>73</v>
      </c>
      <c r="J571">
        <v>28</v>
      </c>
      <c r="K571" t="s">
        <v>77</v>
      </c>
    </row>
    <row r="572" spans="1:11" x14ac:dyDescent="0.3">
      <c r="A572" t="s">
        <v>695</v>
      </c>
      <c r="B572" t="s">
        <v>47</v>
      </c>
      <c r="C572" s="7">
        <v>45677</v>
      </c>
      <c r="D572" s="7">
        <v>45682</v>
      </c>
      <c r="E572">
        <v>5</v>
      </c>
      <c r="F572">
        <v>273598.46083135263</v>
      </c>
      <c r="G572">
        <v>1954.56</v>
      </c>
      <c r="H572" t="s">
        <v>61</v>
      </c>
      <c r="I572" t="s">
        <v>69</v>
      </c>
      <c r="J572">
        <v>29</v>
      </c>
      <c r="K572" t="s">
        <v>66</v>
      </c>
    </row>
    <row r="573" spans="1:11" x14ac:dyDescent="0.3">
      <c r="A573" t="s">
        <v>696</v>
      </c>
      <c r="B573" t="s">
        <v>42</v>
      </c>
      <c r="C573" s="7">
        <v>45540</v>
      </c>
      <c r="D573" s="7">
        <v>45554</v>
      </c>
      <c r="E573">
        <v>14</v>
      </c>
      <c r="F573">
        <v>223162.47395763572</v>
      </c>
      <c r="G573">
        <v>4323.7</v>
      </c>
      <c r="H573" t="s">
        <v>57</v>
      </c>
      <c r="I573" t="s">
        <v>73</v>
      </c>
      <c r="J573">
        <v>36</v>
      </c>
      <c r="K573" t="s">
        <v>77</v>
      </c>
    </row>
    <row r="574" spans="1:11" x14ac:dyDescent="0.3">
      <c r="A574" t="s">
        <v>697</v>
      </c>
      <c r="B574" t="s">
        <v>47</v>
      </c>
      <c r="C574" s="7">
        <v>45952</v>
      </c>
      <c r="D574" s="7">
        <v>45960</v>
      </c>
      <c r="E574">
        <v>8</v>
      </c>
      <c r="F574">
        <v>122988.53000032647</v>
      </c>
      <c r="G574">
        <v>6916.97</v>
      </c>
      <c r="H574" t="s">
        <v>57</v>
      </c>
      <c r="I574" t="s">
        <v>83</v>
      </c>
      <c r="J574">
        <v>29</v>
      </c>
      <c r="K574" t="s">
        <v>89</v>
      </c>
    </row>
    <row r="575" spans="1:11" x14ac:dyDescent="0.3">
      <c r="A575" t="s">
        <v>698</v>
      </c>
      <c r="B575" t="s">
        <v>42</v>
      </c>
      <c r="C575" s="7">
        <v>45490</v>
      </c>
      <c r="D575" s="7">
        <v>45494</v>
      </c>
      <c r="E575">
        <v>4</v>
      </c>
      <c r="F575">
        <v>697897.67893594061</v>
      </c>
      <c r="G575">
        <v>1923.65</v>
      </c>
      <c r="H575" t="s">
        <v>61</v>
      </c>
      <c r="I575" t="s">
        <v>83</v>
      </c>
      <c r="J575">
        <v>48</v>
      </c>
      <c r="K575" t="s">
        <v>66</v>
      </c>
    </row>
    <row r="576" spans="1:11" x14ac:dyDescent="0.3">
      <c r="A576" t="s">
        <v>699</v>
      </c>
      <c r="B576" t="s">
        <v>43</v>
      </c>
      <c r="C576" s="7">
        <v>45711</v>
      </c>
      <c r="D576" s="7">
        <v>45715</v>
      </c>
      <c r="E576">
        <v>4</v>
      </c>
      <c r="F576">
        <v>433762.31714286504</v>
      </c>
      <c r="G576">
        <v>11085.72</v>
      </c>
      <c r="H576" t="s">
        <v>65</v>
      </c>
      <c r="I576" t="s">
        <v>83</v>
      </c>
      <c r="J576">
        <v>46</v>
      </c>
      <c r="K576" t="s">
        <v>70</v>
      </c>
    </row>
    <row r="577" spans="1:11" x14ac:dyDescent="0.3">
      <c r="A577" t="s">
        <v>700</v>
      </c>
      <c r="B577" t="s">
        <v>44</v>
      </c>
      <c r="C577" s="7">
        <v>45878</v>
      </c>
      <c r="D577" s="7">
        <v>45883</v>
      </c>
      <c r="E577">
        <v>5</v>
      </c>
      <c r="F577">
        <v>183968.64111959265</v>
      </c>
      <c r="G577">
        <v>8460.92</v>
      </c>
      <c r="H577" t="s">
        <v>79</v>
      </c>
      <c r="I577" t="s">
        <v>83</v>
      </c>
      <c r="J577">
        <v>41</v>
      </c>
      <c r="K577" t="s">
        <v>59</v>
      </c>
    </row>
    <row r="578" spans="1:11" x14ac:dyDescent="0.3">
      <c r="A578" t="s">
        <v>701</v>
      </c>
      <c r="B578" t="s">
        <v>40</v>
      </c>
      <c r="C578" s="7">
        <v>45803</v>
      </c>
      <c r="D578" s="7">
        <v>45813</v>
      </c>
      <c r="E578">
        <v>10</v>
      </c>
      <c r="F578">
        <v>188981.87963956856</v>
      </c>
      <c r="G578">
        <v>7157.71</v>
      </c>
      <c r="H578" t="s">
        <v>68</v>
      </c>
      <c r="I578" t="s">
        <v>73</v>
      </c>
      <c r="J578">
        <v>47</v>
      </c>
      <c r="K578" t="s">
        <v>89</v>
      </c>
    </row>
    <row r="579" spans="1:11" x14ac:dyDescent="0.3">
      <c r="A579" t="s">
        <v>702</v>
      </c>
      <c r="B579" t="s">
        <v>40</v>
      </c>
      <c r="C579" s="7">
        <v>45493</v>
      </c>
      <c r="D579" s="7">
        <v>45501</v>
      </c>
      <c r="E579">
        <v>8</v>
      </c>
      <c r="F579">
        <v>817088.01226206764</v>
      </c>
      <c r="G579">
        <v>11291.8</v>
      </c>
      <c r="H579" t="s">
        <v>57</v>
      </c>
      <c r="I579" t="s">
        <v>69</v>
      </c>
      <c r="J579">
        <v>5</v>
      </c>
      <c r="K579" t="s">
        <v>89</v>
      </c>
    </row>
    <row r="580" spans="1:11" x14ac:dyDescent="0.3">
      <c r="A580" t="s">
        <v>703</v>
      </c>
      <c r="B580" t="s">
        <v>49</v>
      </c>
      <c r="C580" s="7">
        <v>45781</v>
      </c>
      <c r="D580" s="7">
        <v>45792</v>
      </c>
      <c r="E580">
        <v>11</v>
      </c>
      <c r="F580">
        <v>252977.04755021009</v>
      </c>
      <c r="G580">
        <v>5828.3</v>
      </c>
      <c r="H580" t="s">
        <v>91</v>
      </c>
      <c r="I580" t="s">
        <v>73</v>
      </c>
      <c r="J580">
        <v>41</v>
      </c>
      <c r="K580" t="s">
        <v>70</v>
      </c>
    </row>
    <row r="581" spans="1:11" x14ac:dyDescent="0.3">
      <c r="A581" t="s">
        <v>704</v>
      </c>
      <c r="B581" t="s">
        <v>46</v>
      </c>
      <c r="C581" s="7">
        <v>45909</v>
      </c>
      <c r="D581" s="7">
        <v>45922</v>
      </c>
      <c r="E581">
        <v>13</v>
      </c>
      <c r="F581">
        <v>223370.16798982021</v>
      </c>
      <c r="G581">
        <v>4523.32</v>
      </c>
      <c r="H581" t="s">
        <v>68</v>
      </c>
      <c r="I581" t="s">
        <v>69</v>
      </c>
      <c r="J581">
        <v>51</v>
      </c>
      <c r="K581" t="s">
        <v>89</v>
      </c>
    </row>
    <row r="582" spans="1:11" x14ac:dyDescent="0.3">
      <c r="A582" t="s">
        <v>705</v>
      </c>
      <c r="B582" t="s">
        <v>46</v>
      </c>
      <c r="C582" s="7">
        <v>45612</v>
      </c>
      <c r="D582" s="7">
        <v>45615</v>
      </c>
      <c r="E582">
        <v>3</v>
      </c>
      <c r="F582">
        <v>109873.95392526469</v>
      </c>
      <c r="G582">
        <v>13237.25</v>
      </c>
      <c r="H582" t="s">
        <v>79</v>
      </c>
      <c r="I582" t="s">
        <v>62</v>
      </c>
      <c r="J582">
        <v>27</v>
      </c>
      <c r="K582" t="s">
        <v>89</v>
      </c>
    </row>
    <row r="583" spans="1:11" x14ac:dyDescent="0.3">
      <c r="A583" t="s">
        <v>706</v>
      </c>
      <c r="B583" t="s">
        <v>41</v>
      </c>
      <c r="C583" s="7">
        <v>45728</v>
      </c>
      <c r="D583" s="7">
        <v>45730</v>
      </c>
      <c r="E583">
        <v>2</v>
      </c>
      <c r="F583">
        <v>444465.22887479392</v>
      </c>
      <c r="G583">
        <v>4919.8100000000004</v>
      </c>
      <c r="H583" t="s">
        <v>57</v>
      </c>
      <c r="I583" t="s">
        <v>62</v>
      </c>
      <c r="J583">
        <v>45</v>
      </c>
      <c r="K583" t="s">
        <v>89</v>
      </c>
    </row>
    <row r="584" spans="1:11" x14ac:dyDescent="0.3">
      <c r="A584" t="s">
        <v>707</v>
      </c>
      <c r="B584" t="s">
        <v>38</v>
      </c>
      <c r="C584" s="7">
        <v>45890</v>
      </c>
      <c r="D584" s="7">
        <v>45894</v>
      </c>
      <c r="E584">
        <v>4</v>
      </c>
      <c r="F584">
        <v>644111.27609961468</v>
      </c>
      <c r="G584">
        <v>6286.19</v>
      </c>
      <c r="H584" t="s">
        <v>79</v>
      </c>
      <c r="I584" t="s">
        <v>69</v>
      </c>
      <c r="J584">
        <v>28</v>
      </c>
      <c r="K584" t="s">
        <v>89</v>
      </c>
    </row>
    <row r="585" spans="1:11" x14ac:dyDescent="0.3">
      <c r="A585" t="s">
        <v>708</v>
      </c>
      <c r="B585" t="s">
        <v>53</v>
      </c>
      <c r="C585" s="7">
        <v>45797</v>
      </c>
      <c r="D585" s="7">
        <v>45808</v>
      </c>
      <c r="E585">
        <v>11</v>
      </c>
      <c r="F585">
        <v>211078.11109420462</v>
      </c>
      <c r="G585">
        <v>9616.74</v>
      </c>
      <c r="H585" t="s">
        <v>57</v>
      </c>
      <c r="I585" t="s">
        <v>62</v>
      </c>
      <c r="J585">
        <v>29</v>
      </c>
      <c r="K585" t="s">
        <v>89</v>
      </c>
    </row>
    <row r="586" spans="1:11" x14ac:dyDescent="0.3">
      <c r="A586" t="s">
        <v>709</v>
      </c>
      <c r="B586" t="s">
        <v>47</v>
      </c>
      <c r="C586" s="7">
        <v>45580</v>
      </c>
      <c r="D586" s="7">
        <v>45592</v>
      </c>
      <c r="E586">
        <v>12</v>
      </c>
      <c r="F586">
        <v>596915.82424793218</v>
      </c>
      <c r="G586">
        <v>14228.59</v>
      </c>
      <c r="H586" t="s">
        <v>91</v>
      </c>
      <c r="I586" t="s">
        <v>58</v>
      </c>
      <c r="J586">
        <v>22</v>
      </c>
      <c r="K586" t="s">
        <v>66</v>
      </c>
    </row>
    <row r="587" spans="1:11" x14ac:dyDescent="0.3">
      <c r="A587" t="s">
        <v>710</v>
      </c>
      <c r="B587" t="s">
        <v>49</v>
      </c>
      <c r="C587" s="7">
        <v>45705</v>
      </c>
      <c r="D587" s="7">
        <v>45706</v>
      </c>
      <c r="E587">
        <v>1</v>
      </c>
      <c r="F587">
        <v>744235.67836117349</v>
      </c>
      <c r="G587">
        <v>5132.66</v>
      </c>
      <c r="H587" t="s">
        <v>61</v>
      </c>
      <c r="I587" t="s">
        <v>58</v>
      </c>
      <c r="J587">
        <v>5</v>
      </c>
      <c r="K587" t="s">
        <v>59</v>
      </c>
    </row>
    <row r="588" spans="1:11" x14ac:dyDescent="0.3">
      <c r="A588" t="s">
        <v>711</v>
      </c>
      <c r="B588" t="s">
        <v>43</v>
      </c>
      <c r="C588" s="7">
        <v>45702</v>
      </c>
      <c r="D588" s="7">
        <v>45715</v>
      </c>
      <c r="E588">
        <v>13</v>
      </c>
      <c r="F588">
        <v>511848.28659482999</v>
      </c>
      <c r="G588">
        <v>12923.9</v>
      </c>
      <c r="H588" t="s">
        <v>76</v>
      </c>
      <c r="I588" t="s">
        <v>62</v>
      </c>
      <c r="J588">
        <v>52</v>
      </c>
      <c r="K588" t="s">
        <v>66</v>
      </c>
    </row>
    <row r="589" spans="1:11" x14ac:dyDescent="0.3">
      <c r="A589" t="s">
        <v>712</v>
      </c>
      <c r="B589" t="s">
        <v>46</v>
      </c>
      <c r="C589" s="7">
        <v>45995</v>
      </c>
      <c r="D589" s="7">
        <v>45995</v>
      </c>
      <c r="E589">
        <v>0</v>
      </c>
      <c r="F589">
        <v>152203.52204433159</v>
      </c>
      <c r="G589">
        <v>4661.7</v>
      </c>
      <c r="H589" t="s">
        <v>76</v>
      </c>
      <c r="I589" t="s">
        <v>73</v>
      </c>
      <c r="J589">
        <v>3</v>
      </c>
      <c r="K589" t="s">
        <v>70</v>
      </c>
    </row>
    <row r="590" spans="1:11" x14ac:dyDescent="0.3">
      <c r="A590" t="s">
        <v>713</v>
      </c>
      <c r="B590" t="s">
        <v>52</v>
      </c>
      <c r="C590" s="7">
        <v>45904</v>
      </c>
      <c r="D590" s="7">
        <v>45906</v>
      </c>
      <c r="E590">
        <v>2</v>
      </c>
      <c r="F590">
        <v>780187.70587729116</v>
      </c>
      <c r="G590">
        <v>13174</v>
      </c>
      <c r="H590" t="s">
        <v>79</v>
      </c>
      <c r="I590" t="s">
        <v>83</v>
      </c>
      <c r="J590">
        <v>5</v>
      </c>
      <c r="K590" t="s">
        <v>59</v>
      </c>
    </row>
    <row r="591" spans="1:11" x14ac:dyDescent="0.3">
      <c r="A591" t="s">
        <v>714</v>
      </c>
      <c r="B591" t="s">
        <v>38</v>
      </c>
      <c r="C591" s="7">
        <v>45869</v>
      </c>
      <c r="D591" s="7">
        <v>45878</v>
      </c>
      <c r="E591">
        <v>9</v>
      </c>
      <c r="F591">
        <v>875787.2999269776</v>
      </c>
      <c r="G591">
        <v>1614.24</v>
      </c>
      <c r="H591" t="s">
        <v>91</v>
      </c>
      <c r="I591" t="s">
        <v>69</v>
      </c>
      <c r="J591">
        <v>13</v>
      </c>
      <c r="K591" t="s">
        <v>77</v>
      </c>
    </row>
    <row r="592" spans="1:11" x14ac:dyDescent="0.3">
      <c r="A592" t="s">
        <v>715</v>
      </c>
      <c r="B592" t="s">
        <v>50</v>
      </c>
      <c r="C592" s="7">
        <v>45981</v>
      </c>
      <c r="D592" s="7">
        <v>45992</v>
      </c>
      <c r="E592">
        <v>11</v>
      </c>
      <c r="F592">
        <v>25425.687469042947</v>
      </c>
      <c r="G592">
        <v>4255.9399999999996</v>
      </c>
      <c r="H592" t="s">
        <v>76</v>
      </c>
      <c r="I592" t="s">
        <v>83</v>
      </c>
      <c r="J592">
        <v>17</v>
      </c>
      <c r="K592" t="s">
        <v>77</v>
      </c>
    </row>
    <row r="593" spans="1:11" x14ac:dyDescent="0.3">
      <c r="A593" t="s">
        <v>716</v>
      </c>
      <c r="B593" t="s">
        <v>44</v>
      </c>
      <c r="C593" s="7">
        <v>45521</v>
      </c>
      <c r="D593" s="7">
        <v>45524</v>
      </c>
      <c r="E593">
        <v>3</v>
      </c>
      <c r="F593">
        <v>921281.82022456231</v>
      </c>
      <c r="G593">
        <v>8502.74</v>
      </c>
      <c r="H593" t="s">
        <v>68</v>
      </c>
      <c r="I593" t="s">
        <v>62</v>
      </c>
      <c r="J593">
        <v>59</v>
      </c>
      <c r="K593" t="s">
        <v>77</v>
      </c>
    </row>
    <row r="594" spans="1:11" x14ac:dyDescent="0.3">
      <c r="A594" t="s">
        <v>717</v>
      </c>
      <c r="B594" t="s">
        <v>44</v>
      </c>
      <c r="C594" s="7">
        <v>45710</v>
      </c>
      <c r="D594" s="7">
        <v>45715</v>
      </c>
      <c r="E594">
        <v>5</v>
      </c>
      <c r="F594">
        <v>727397.21815553796</v>
      </c>
      <c r="G594">
        <v>10775.77</v>
      </c>
      <c r="H594" t="s">
        <v>68</v>
      </c>
      <c r="I594" t="s">
        <v>73</v>
      </c>
      <c r="J594">
        <v>37</v>
      </c>
      <c r="K594" t="s">
        <v>59</v>
      </c>
    </row>
    <row r="595" spans="1:11" x14ac:dyDescent="0.3">
      <c r="A595" t="s">
        <v>718</v>
      </c>
      <c r="B595" t="s">
        <v>50</v>
      </c>
      <c r="C595" s="7">
        <v>45775</v>
      </c>
      <c r="D595" s="7">
        <v>45782</v>
      </c>
      <c r="E595">
        <v>7</v>
      </c>
      <c r="F595">
        <v>537917.38095868297</v>
      </c>
      <c r="G595">
        <v>9713.7099999999991</v>
      </c>
      <c r="H595" t="s">
        <v>61</v>
      </c>
      <c r="I595" t="s">
        <v>73</v>
      </c>
      <c r="J595">
        <v>52</v>
      </c>
      <c r="K595" t="s">
        <v>59</v>
      </c>
    </row>
    <row r="596" spans="1:11" x14ac:dyDescent="0.3">
      <c r="A596" t="s">
        <v>719</v>
      </c>
      <c r="B596" t="s">
        <v>46</v>
      </c>
      <c r="C596" s="7">
        <v>45859</v>
      </c>
      <c r="D596" s="7">
        <v>45868</v>
      </c>
      <c r="E596">
        <v>9</v>
      </c>
      <c r="F596">
        <v>240533.82496756114</v>
      </c>
      <c r="G596">
        <v>2291.69</v>
      </c>
      <c r="H596" t="s">
        <v>91</v>
      </c>
      <c r="I596" t="s">
        <v>69</v>
      </c>
      <c r="J596">
        <v>34</v>
      </c>
      <c r="K596" t="s">
        <v>77</v>
      </c>
    </row>
    <row r="597" spans="1:11" x14ac:dyDescent="0.3">
      <c r="A597" t="s">
        <v>720</v>
      </c>
      <c r="B597" t="s">
        <v>38</v>
      </c>
      <c r="C597" s="7">
        <v>45934</v>
      </c>
      <c r="D597" s="7">
        <v>45938</v>
      </c>
      <c r="E597">
        <v>4</v>
      </c>
      <c r="F597">
        <v>706327.38901285944</v>
      </c>
      <c r="G597">
        <v>12547.99</v>
      </c>
      <c r="H597" t="s">
        <v>57</v>
      </c>
      <c r="I597" t="s">
        <v>62</v>
      </c>
      <c r="J597">
        <v>45</v>
      </c>
      <c r="K597" t="s">
        <v>77</v>
      </c>
    </row>
    <row r="598" spans="1:11" x14ac:dyDescent="0.3">
      <c r="A598" t="s">
        <v>721</v>
      </c>
      <c r="B598" t="s">
        <v>52</v>
      </c>
      <c r="C598" s="7">
        <v>46006</v>
      </c>
      <c r="D598" s="7">
        <v>46009</v>
      </c>
      <c r="E598">
        <v>3</v>
      </c>
      <c r="F598">
        <v>720121.57552962576</v>
      </c>
      <c r="G598">
        <v>11961.5</v>
      </c>
      <c r="H598" t="s">
        <v>91</v>
      </c>
      <c r="I598" t="s">
        <v>69</v>
      </c>
      <c r="J598">
        <v>21</v>
      </c>
      <c r="K598" t="s">
        <v>66</v>
      </c>
    </row>
    <row r="599" spans="1:11" x14ac:dyDescent="0.3">
      <c r="A599" t="s">
        <v>722</v>
      </c>
      <c r="B599" t="s">
        <v>40</v>
      </c>
      <c r="C599" s="7">
        <v>45829</v>
      </c>
      <c r="D599" s="7">
        <v>45840</v>
      </c>
      <c r="E599">
        <v>11</v>
      </c>
      <c r="F599">
        <v>118524.69618322389</v>
      </c>
      <c r="G599">
        <v>3121.04</v>
      </c>
      <c r="H599" t="s">
        <v>79</v>
      </c>
      <c r="I599" t="s">
        <v>83</v>
      </c>
      <c r="J599">
        <v>3</v>
      </c>
      <c r="K599" t="s">
        <v>89</v>
      </c>
    </row>
    <row r="600" spans="1:11" x14ac:dyDescent="0.3">
      <c r="A600" t="s">
        <v>723</v>
      </c>
      <c r="B600" t="s">
        <v>42</v>
      </c>
      <c r="C600" s="7">
        <v>45766</v>
      </c>
      <c r="D600" s="7">
        <v>45778</v>
      </c>
      <c r="E600">
        <v>12</v>
      </c>
      <c r="F600">
        <v>586198.93921720178</v>
      </c>
      <c r="G600">
        <v>10774.23</v>
      </c>
      <c r="H600" t="s">
        <v>91</v>
      </c>
      <c r="I600" t="s">
        <v>58</v>
      </c>
      <c r="J600">
        <v>17</v>
      </c>
      <c r="K600" t="s">
        <v>89</v>
      </c>
    </row>
    <row r="601" spans="1:11" x14ac:dyDescent="0.3">
      <c r="A601" t="s">
        <v>724</v>
      </c>
      <c r="B601" t="s">
        <v>41</v>
      </c>
      <c r="C601" s="7">
        <v>45605</v>
      </c>
      <c r="D601" s="7">
        <v>45607</v>
      </c>
      <c r="E601">
        <v>2</v>
      </c>
      <c r="F601">
        <v>501099.00891687837</v>
      </c>
      <c r="G601">
        <v>12475.24</v>
      </c>
      <c r="H601" t="s">
        <v>57</v>
      </c>
      <c r="I601" t="s">
        <v>62</v>
      </c>
      <c r="J601">
        <v>27</v>
      </c>
      <c r="K601" t="s">
        <v>66</v>
      </c>
    </row>
    <row r="602" spans="1:11" x14ac:dyDescent="0.3">
      <c r="A602" t="s">
        <v>725</v>
      </c>
      <c r="B602" t="s">
        <v>45</v>
      </c>
      <c r="C602" s="7">
        <v>45642</v>
      </c>
      <c r="D602" s="7">
        <v>45653</v>
      </c>
      <c r="E602">
        <v>11</v>
      </c>
      <c r="F602">
        <v>181381.67539149662</v>
      </c>
      <c r="G602">
        <v>10471.870000000001</v>
      </c>
      <c r="H602" t="s">
        <v>91</v>
      </c>
      <c r="I602" t="s">
        <v>69</v>
      </c>
      <c r="J602">
        <v>22</v>
      </c>
      <c r="K602" t="s">
        <v>59</v>
      </c>
    </row>
    <row r="603" spans="1:11" x14ac:dyDescent="0.3">
      <c r="A603" t="s">
        <v>726</v>
      </c>
      <c r="B603" t="s">
        <v>47</v>
      </c>
      <c r="C603" s="7">
        <v>45684</v>
      </c>
      <c r="D603" s="7">
        <v>45685</v>
      </c>
      <c r="E603">
        <v>1</v>
      </c>
      <c r="F603">
        <v>335947.95523315633</v>
      </c>
      <c r="G603">
        <v>8475.51</v>
      </c>
      <c r="H603" t="s">
        <v>76</v>
      </c>
      <c r="I603" t="s">
        <v>62</v>
      </c>
      <c r="J603">
        <v>41</v>
      </c>
      <c r="K603" t="s">
        <v>59</v>
      </c>
    </row>
    <row r="604" spans="1:11" x14ac:dyDescent="0.3">
      <c r="A604" t="s">
        <v>727</v>
      </c>
      <c r="B604" t="s">
        <v>42</v>
      </c>
      <c r="C604" s="7">
        <v>45875</v>
      </c>
      <c r="D604" s="7">
        <v>45884</v>
      </c>
      <c r="E604">
        <v>9</v>
      </c>
      <c r="F604">
        <v>695703.87102412037</v>
      </c>
      <c r="G604">
        <v>5635.67</v>
      </c>
      <c r="H604" t="s">
        <v>79</v>
      </c>
      <c r="I604" t="s">
        <v>69</v>
      </c>
      <c r="J604">
        <v>60</v>
      </c>
      <c r="K604" t="s">
        <v>70</v>
      </c>
    </row>
    <row r="605" spans="1:11" x14ac:dyDescent="0.3">
      <c r="A605" t="s">
        <v>728</v>
      </c>
      <c r="B605" t="s">
        <v>39</v>
      </c>
      <c r="C605" s="7">
        <v>45675</v>
      </c>
      <c r="D605" s="7">
        <v>45686</v>
      </c>
      <c r="E605">
        <v>11</v>
      </c>
      <c r="F605">
        <v>208697.56909840205</v>
      </c>
      <c r="G605">
        <v>2839.21</v>
      </c>
      <c r="H605" t="s">
        <v>91</v>
      </c>
      <c r="I605" t="s">
        <v>83</v>
      </c>
      <c r="J605">
        <v>9</v>
      </c>
      <c r="K605" t="s">
        <v>77</v>
      </c>
    </row>
    <row r="606" spans="1:11" x14ac:dyDescent="0.3">
      <c r="A606" t="s">
        <v>729</v>
      </c>
      <c r="B606" t="s">
        <v>40</v>
      </c>
      <c r="C606" s="7">
        <v>45554</v>
      </c>
      <c r="D606" s="7">
        <v>45557</v>
      </c>
      <c r="E606">
        <v>3</v>
      </c>
      <c r="F606">
        <v>89906.109938060457</v>
      </c>
      <c r="G606">
        <v>12089.64</v>
      </c>
      <c r="H606" t="s">
        <v>76</v>
      </c>
      <c r="I606" t="s">
        <v>73</v>
      </c>
      <c r="J606">
        <v>11</v>
      </c>
      <c r="K606" t="s">
        <v>89</v>
      </c>
    </row>
    <row r="607" spans="1:11" x14ac:dyDescent="0.3">
      <c r="A607" t="s">
        <v>730</v>
      </c>
      <c r="B607" t="s">
        <v>43</v>
      </c>
      <c r="C607" s="7">
        <v>45464</v>
      </c>
      <c r="D607" s="7">
        <v>45472</v>
      </c>
      <c r="E607">
        <v>8</v>
      </c>
      <c r="F607">
        <v>769684.23122825508</v>
      </c>
      <c r="G607">
        <v>6496</v>
      </c>
      <c r="H607" t="s">
        <v>68</v>
      </c>
      <c r="I607" t="s">
        <v>62</v>
      </c>
      <c r="J607">
        <v>20</v>
      </c>
      <c r="K607" t="s">
        <v>77</v>
      </c>
    </row>
    <row r="608" spans="1:11" x14ac:dyDescent="0.3">
      <c r="A608" t="s">
        <v>731</v>
      </c>
      <c r="B608" t="s">
        <v>41</v>
      </c>
      <c r="C608" s="7">
        <v>45934</v>
      </c>
      <c r="D608" s="7">
        <v>45946</v>
      </c>
      <c r="E608">
        <v>12</v>
      </c>
      <c r="F608">
        <v>369255.2183761358</v>
      </c>
      <c r="G608">
        <v>7222.27</v>
      </c>
      <c r="H608" t="s">
        <v>61</v>
      </c>
      <c r="I608" t="s">
        <v>58</v>
      </c>
      <c r="J608">
        <v>21</v>
      </c>
      <c r="K608" t="s">
        <v>77</v>
      </c>
    </row>
    <row r="609" spans="1:11" x14ac:dyDescent="0.3">
      <c r="A609" t="s">
        <v>732</v>
      </c>
      <c r="B609" t="s">
        <v>53</v>
      </c>
      <c r="C609" s="7">
        <v>45811</v>
      </c>
      <c r="D609" s="7">
        <v>45813</v>
      </c>
      <c r="E609">
        <v>2</v>
      </c>
      <c r="F609">
        <v>900964.64376732288</v>
      </c>
      <c r="G609">
        <v>12537.35</v>
      </c>
      <c r="H609" t="s">
        <v>65</v>
      </c>
      <c r="I609" t="s">
        <v>73</v>
      </c>
      <c r="J609">
        <v>54</v>
      </c>
      <c r="K609" t="s">
        <v>89</v>
      </c>
    </row>
    <row r="610" spans="1:11" x14ac:dyDescent="0.3">
      <c r="A610" t="s">
        <v>733</v>
      </c>
      <c r="B610" t="s">
        <v>45</v>
      </c>
      <c r="C610" s="7">
        <v>45908</v>
      </c>
      <c r="D610" s="7">
        <v>45918</v>
      </c>
      <c r="E610">
        <v>10</v>
      </c>
      <c r="F610">
        <v>117349.03363406952</v>
      </c>
      <c r="G610">
        <v>13516.48</v>
      </c>
      <c r="H610" t="s">
        <v>65</v>
      </c>
      <c r="I610" t="s">
        <v>62</v>
      </c>
      <c r="J610">
        <v>12</v>
      </c>
      <c r="K610" t="s">
        <v>59</v>
      </c>
    </row>
    <row r="611" spans="1:11" x14ac:dyDescent="0.3">
      <c r="A611" t="s">
        <v>734</v>
      </c>
      <c r="B611" t="s">
        <v>53</v>
      </c>
      <c r="C611" s="7">
        <v>45827</v>
      </c>
      <c r="D611" s="7">
        <v>45834</v>
      </c>
      <c r="E611">
        <v>7</v>
      </c>
      <c r="F611">
        <v>345954.74262479704</v>
      </c>
      <c r="G611">
        <v>3084.35</v>
      </c>
      <c r="H611" t="s">
        <v>91</v>
      </c>
      <c r="I611" t="s">
        <v>62</v>
      </c>
      <c r="J611">
        <v>22</v>
      </c>
      <c r="K611" t="s">
        <v>59</v>
      </c>
    </row>
    <row r="612" spans="1:11" x14ac:dyDescent="0.3">
      <c r="A612" t="s">
        <v>735</v>
      </c>
      <c r="B612" t="s">
        <v>53</v>
      </c>
      <c r="C612" s="7">
        <v>45442</v>
      </c>
      <c r="D612" s="7">
        <v>45451</v>
      </c>
      <c r="E612">
        <v>9</v>
      </c>
      <c r="F612">
        <v>262429.34903941344</v>
      </c>
      <c r="G612">
        <v>9778.83</v>
      </c>
      <c r="H612" t="s">
        <v>65</v>
      </c>
      <c r="I612" t="s">
        <v>69</v>
      </c>
      <c r="J612">
        <v>26</v>
      </c>
      <c r="K612" t="s">
        <v>59</v>
      </c>
    </row>
    <row r="613" spans="1:11" x14ac:dyDescent="0.3">
      <c r="A613" t="s">
        <v>737</v>
      </c>
      <c r="B613" t="s">
        <v>52</v>
      </c>
      <c r="C613" s="7">
        <v>45783</v>
      </c>
      <c r="D613" s="7">
        <v>45796</v>
      </c>
      <c r="E613">
        <v>13</v>
      </c>
      <c r="F613">
        <v>806307.61223678559</v>
      </c>
      <c r="G613">
        <v>1029.51</v>
      </c>
      <c r="H613" t="s">
        <v>65</v>
      </c>
      <c r="I613" t="s">
        <v>83</v>
      </c>
      <c r="J613">
        <v>21</v>
      </c>
      <c r="K613" t="s">
        <v>59</v>
      </c>
    </row>
    <row r="614" spans="1:11" x14ac:dyDescent="0.3">
      <c r="A614" t="s">
        <v>738</v>
      </c>
      <c r="B614" t="s">
        <v>46</v>
      </c>
      <c r="C614" s="7">
        <v>45725</v>
      </c>
      <c r="D614" s="7">
        <v>45731</v>
      </c>
      <c r="E614">
        <v>6</v>
      </c>
      <c r="F614">
        <v>798628.64939546946</v>
      </c>
      <c r="G614">
        <v>10110.69</v>
      </c>
      <c r="H614" t="s">
        <v>57</v>
      </c>
      <c r="I614" t="s">
        <v>73</v>
      </c>
      <c r="J614">
        <v>53</v>
      </c>
      <c r="K614" t="s">
        <v>77</v>
      </c>
    </row>
    <row r="615" spans="1:11" x14ac:dyDescent="0.3">
      <c r="A615" t="s">
        <v>739</v>
      </c>
      <c r="B615" t="s">
        <v>49</v>
      </c>
      <c r="C615" s="7">
        <v>45591</v>
      </c>
      <c r="D615" s="7">
        <v>45598</v>
      </c>
      <c r="E615">
        <v>7</v>
      </c>
      <c r="F615">
        <v>45438.627102378967</v>
      </c>
      <c r="G615">
        <v>9206.23</v>
      </c>
      <c r="H615" t="s">
        <v>65</v>
      </c>
      <c r="I615" t="s">
        <v>58</v>
      </c>
      <c r="J615">
        <v>27</v>
      </c>
      <c r="K615" t="s">
        <v>66</v>
      </c>
    </row>
    <row r="616" spans="1:11" x14ac:dyDescent="0.3">
      <c r="A616" t="s">
        <v>740</v>
      </c>
      <c r="B616" t="s">
        <v>42</v>
      </c>
      <c r="C616" s="7">
        <v>45789</v>
      </c>
      <c r="D616" s="7">
        <v>45790</v>
      </c>
      <c r="E616">
        <v>1</v>
      </c>
      <c r="F616">
        <v>327401.37756626209</v>
      </c>
      <c r="G616">
        <v>8608.9599999999991</v>
      </c>
      <c r="H616" t="s">
        <v>65</v>
      </c>
      <c r="I616" t="s">
        <v>83</v>
      </c>
      <c r="J616">
        <v>37</v>
      </c>
      <c r="K616" t="s">
        <v>89</v>
      </c>
    </row>
    <row r="617" spans="1:11" x14ac:dyDescent="0.3">
      <c r="A617" t="s">
        <v>741</v>
      </c>
      <c r="B617" t="s">
        <v>39</v>
      </c>
      <c r="C617" s="7">
        <v>45416</v>
      </c>
      <c r="D617" s="7">
        <v>45418</v>
      </c>
      <c r="E617">
        <v>2</v>
      </c>
      <c r="F617">
        <v>304658.56346708845</v>
      </c>
      <c r="G617">
        <v>9474.0499999999993</v>
      </c>
      <c r="H617" t="s">
        <v>57</v>
      </c>
      <c r="I617" t="s">
        <v>73</v>
      </c>
      <c r="J617">
        <v>51</v>
      </c>
      <c r="K617" t="s">
        <v>59</v>
      </c>
    </row>
    <row r="618" spans="1:11" x14ac:dyDescent="0.3">
      <c r="A618" t="s">
        <v>742</v>
      </c>
      <c r="B618" t="s">
        <v>48</v>
      </c>
      <c r="C618" s="7">
        <v>45541</v>
      </c>
      <c r="D618" s="7">
        <v>45555</v>
      </c>
      <c r="E618">
        <v>14</v>
      </c>
      <c r="F618">
        <v>690912.29983513046</v>
      </c>
      <c r="G618">
        <v>3851.64</v>
      </c>
      <c r="H618" t="s">
        <v>79</v>
      </c>
      <c r="I618" t="s">
        <v>73</v>
      </c>
      <c r="J618">
        <v>48</v>
      </c>
      <c r="K618" t="s">
        <v>66</v>
      </c>
    </row>
    <row r="619" spans="1:11" x14ac:dyDescent="0.3">
      <c r="A619" t="s">
        <v>743</v>
      </c>
      <c r="B619" t="s">
        <v>38</v>
      </c>
      <c r="C619" s="7">
        <v>45789</v>
      </c>
      <c r="D619" s="7">
        <v>45791</v>
      </c>
      <c r="E619">
        <v>2</v>
      </c>
      <c r="F619">
        <v>268065.03450599726</v>
      </c>
      <c r="G619">
        <v>8562.59</v>
      </c>
      <c r="H619" t="s">
        <v>68</v>
      </c>
      <c r="I619" t="s">
        <v>73</v>
      </c>
      <c r="J619">
        <v>54</v>
      </c>
      <c r="K619" t="s">
        <v>66</v>
      </c>
    </row>
    <row r="620" spans="1:11" x14ac:dyDescent="0.3">
      <c r="A620" t="s">
        <v>744</v>
      </c>
      <c r="B620" t="s">
        <v>53</v>
      </c>
      <c r="C620" s="7">
        <v>45690</v>
      </c>
      <c r="D620" s="7">
        <v>45694</v>
      </c>
      <c r="E620">
        <v>4</v>
      </c>
      <c r="F620">
        <v>665541.23526140198</v>
      </c>
      <c r="G620">
        <v>4115.2700000000004</v>
      </c>
      <c r="H620" t="s">
        <v>68</v>
      </c>
      <c r="I620" t="s">
        <v>62</v>
      </c>
      <c r="J620">
        <v>38</v>
      </c>
      <c r="K620" t="s">
        <v>70</v>
      </c>
    </row>
    <row r="621" spans="1:11" x14ac:dyDescent="0.3">
      <c r="A621" t="s">
        <v>746</v>
      </c>
      <c r="B621" t="s">
        <v>46</v>
      </c>
      <c r="C621" s="7">
        <v>45614</v>
      </c>
      <c r="D621" s="7">
        <v>45621</v>
      </c>
      <c r="E621">
        <v>7</v>
      </c>
      <c r="F621">
        <v>250861.99823163418</v>
      </c>
      <c r="G621">
        <v>13844.41</v>
      </c>
      <c r="H621" t="s">
        <v>91</v>
      </c>
      <c r="I621" t="s">
        <v>73</v>
      </c>
      <c r="J621">
        <v>31</v>
      </c>
      <c r="K621" t="s">
        <v>66</v>
      </c>
    </row>
    <row r="622" spans="1:11" x14ac:dyDescent="0.3">
      <c r="A622" t="s">
        <v>748</v>
      </c>
      <c r="B622" t="s">
        <v>40</v>
      </c>
      <c r="C622" s="7">
        <v>45831</v>
      </c>
      <c r="D622" s="7">
        <v>45836</v>
      </c>
      <c r="E622">
        <v>5</v>
      </c>
      <c r="F622">
        <v>618371.18940754014</v>
      </c>
      <c r="G622">
        <v>1683.07</v>
      </c>
      <c r="H622" t="s">
        <v>61</v>
      </c>
      <c r="I622" t="s">
        <v>62</v>
      </c>
      <c r="J622">
        <v>11</v>
      </c>
      <c r="K622" t="s">
        <v>89</v>
      </c>
    </row>
    <row r="623" spans="1:11" x14ac:dyDescent="0.3">
      <c r="A623" t="s">
        <v>749</v>
      </c>
      <c r="B623" t="s">
        <v>50</v>
      </c>
      <c r="C623" s="7">
        <v>45937</v>
      </c>
      <c r="D623" s="7">
        <v>45944</v>
      </c>
      <c r="E623">
        <v>7</v>
      </c>
      <c r="F623">
        <v>566804.00048085523</v>
      </c>
      <c r="G623">
        <v>10478.58</v>
      </c>
      <c r="H623" t="s">
        <v>65</v>
      </c>
      <c r="I623" t="s">
        <v>69</v>
      </c>
      <c r="J623">
        <v>31</v>
      </c>
      <c r="K623" t="s">
        <v>66</v>
      </c>
    </row>
    <row r="624" spans="1:11" x14ac:dyDescent="0.3">
      <c r="A624" t="s">
        <v>750</v>
      </c>
      <c r="B624" t="s">
        <v>49</v>
      </c>
      <c r="C624" s="7">
        <v>45808</v>
      </c>
      <c r="D624" s="7">
        <v>45815</v>
      </c>
      <c r="E624">
        <v>7</v>
      </c>
      <c r="F624">
        <v>647497.89560911828</v>
      </c>
      <c r="G624">
        <v>4642.5600000000004</v>
      </c>
      <c r="H624" t="s">
        <v>76</v>
      </c>
      <c r="I624" t="s">
        <v>58</v>
      </c>
      <c r="J624">
        <v>7</v>
      </c>
      <c r="K624" t="s">
        <v>89</v>
      </c>
    </row>
    <row r="625" spans="1:11" x14ac:dyDescent="0.3">
      <c r="A625" t="s">
        <v>751</v>
      </c>
      <c r="B625" t="s">
        <v>50</v>
      </c>
      <c r="C625" s="7">
        <v>45841</v>
      </c>
      <c r="D625" s="7">
        <v>45850</v>
      </c>
      <c r="E625">
        <v>9</v>
      </c>
      <c r="F625">
        <v>30290.300901767583</v>
      </c>
      <c r="G625">
        <v>7780.62</v>
      </c>
      <c r="H625" t="s">
        <v>61</v>
      </c>
      <c r="I625" t="s">
        <v>58</v>
      </c>
      <c r="J625">
        <v>45</v>
      </c>
      <c r="K625" t="s">
        <v>77</v>
      </c>
    </row>
    <row r="626" spans="1:11" x14ac:dyDescent="0.3">
      <c r="A626" t="s">
        <v>752</v>
      </c>
      <c r="B626" t="s">
        <v>45</v>
      </c>
      <c r="C626" s="7">
        <v>45950</v>
      </c>
      <c r="D626" s="7">
        <v>45950</v>
      </c>
      <c r="E626">
        <v>0</v>
      </c>
      <c r="F626">
        <v>628557.08908381709</v>
      </c>
      <c r="G626">
        <v>3166.02</v>
      </c>
      <c r="H626" t="s">
        <v>76</v>
      </c>
      <c r="I626" t="s">
        <v>62</v>
      </c>
      <c r="J626">
        <v>20</v>
      </c>
      <c r="K626" t="s">
        <v>59</v>
      </c>
    </row>
    <row r="627" spans="1:11" x14ac:dyDescent="0.3">
      <c r="A627" t="s">
        <v>753</v>
      </c>
      <c r="B627" t="s">
        <v>41</v>
      </c>
      <c r="C627" s="7">
        <v>45488</v>
      </c>
      <c r="D627" s="7">
        <v>45499</v>
      </c>
      <c r="E627">
        <v>11</v>
      </c>
      <c r="F627">
        <v>235561.23604409842</v>
      </c>
      <c r="G627">
        <v>10333.76</v>
      </c>
      <c r="H627" t="s">
        <v>79</v>
      </c>
      <c r="I627" t="s">
        <v>62</v>
      </c>
      <c r="J627">
        <v>1</v>
      </c>
      <c r="K627" t="s">
        <v>89</v>
      </c>
    </row>
    <row r="628" spans="1:11" x14ac:dyDescent="0.3">
      <c r="A628" t="s">
        <v>754</v>
      </c>
      <c r="B628" t="s">
        <v>43</v>
      </c>
      <c r="C628" s="7">
        <v>45901</v>
      </c>
      <c r="D628" s="7">
        <v>45911</v>
      </c>
      <c r="E628">
        <v>10</v>
      </c>
      <c r="F628">
        <v>377343.2177823658</v>
      </c>
      <c r="G628">
        <v>3344.88</v>
      </c>
      <c r="H628" t="s">
        <v>68</v>
      </c>
      <c r="I628" t="s">
        <v>69</v>
      </c>
      <c r="J628">
        <v>54</v>
      </c>
      <c r="K628" t="s">
        <v>89</v>
      </c>
    </row>
    <row r="629" spans="1:11" x14ac:dyDescent="0.3">
      <c r="A629" t="s">
        <v>755</v>
      </c>
      <c r="B629" t="s">
        <v>50</v>
      </c>
      <c r="C629" s="7">
        <v>45466</v>
      </c>
      <c r="D629" s="7">
        <v>45471</v>
      </c>
      <c r="E629">
        <v>5</v>
      </c>
      <c r="F629">
        <v>727723.68522753438</v>
      </c>
      <c r="G629">
        <v>2176.19</v>
      </c>
      <c r="H629" t="s">
        <v>79</v>
      </c>
      <c r="I629" t="s">
        <v>62</v>
      </c>
      <c r="J629">
        <v>58</v>
      </c>
      <c r="K629" t="s">
        <v>70</v>
      </c>
    </row>
    <row r="630" spans="1:11" x14ac:dyDescent="0.3">
      <c r="A630" t="s">
        <v>756</v>
      </c>
      <c r="B630" t="s">
        <v>47</v>
      </c>
      <c r="C630" s="7">
        <v>45564</v>
      </c>
      <c r="D630" s="7">
        <v>45569</v>
      </c>
      <c r="E630">
        <v>5</v>
      </c>
      <c r="F630">
        <v>466849.18325474975</v>
      </c>
      <c r="G630">
        <v>11158.35</v>
      </c>
      <c r="H630" t="s">
        <v>91</v>
      </c>
      <c r="I630" t="s">
        <v>83</v>
      </c>
      <c r="J630">
        <v>15</v>
      </c>
      <c r="K630" t="s">
        <v>77</v>
      </c>
    </row>
    <row r="631" spans="1:11" x14ac:dyDescent="0.3">
      <c r="A631" t="s">
        <v>757</v>
      </c>
      <c r="B631" t="s">
        <v>50</v>
      </c>
      <c r="C631" s="7">
        <v>45764</v>
      </c>
      <c r="D631" s="7">
        <v>45769</v>
      </c>
      <c r="E631">
        <v>5</v>
      </c>
      <c r="F631">
        <v>479333.05543391185</v>
      </c>
      <c r="G631">
        <v>223.55</v>
      </c>
      <c r="H631" t="s">
        <v>91</v>
      </c>
      <c r="I631" t="s">
        <v>69</v>
      </c>
      <c r="J631">
        <v>59</v>
      </c>
      <c r="K631" t="s">
        <v>59</v>
      </c>
    </row>
    <row r="632" spans="1:11" x14ac:dyDescent="0.3">
      <c r="A632" t="s">
        <v>758</v>
      </c>
      <c r="B632" t="s">
        <v>40</v>
      </c>
      <c r="C632" s="7">
        <v>45556</v>
      </c>
      <c r="D632" s="7">
        <v>45559</v>
      </c>
      <c r="E632">
        <v>3</v>
      </c>
      <c r="F632">
        <v>289880.52968471422</v>
      </c>
      <c r="G632">
        <v>1574.19</v>
      </c>
      <c r="H632" t="s">
        <v>68</v>
      </c>
      <c r="I632" t="s">
        <v>73</v>
      </c>
      <c r="J632">
        <v>28</v>
      </c>
      <c r="K632" t="s">
        <v>66</v>
      </c>
    </row>
    <row r="633" spans="1:11" x14ac:dyDescent="0.3">
      <c r="A633" t="s">
        <v>759</v>
      </c>
      <c r="B633" t="s">
        <v>42</v>
      </c>
      <c r="C633" s="7">
        <v>45987</v>
      </c>
      <c r="D633" s="7">
        <v>45987</v>
      </c>
      <c r="E633">
        <v>0</v>
      </c>
      <c r="F633">
        <v>251026.5020675234</v>
      </c>
      <c r="G633">
        <v>14334.25</v>
      </c>
      <c r="H633" t="s">
        <v>76</v>
      </c>
      <c r="I633" t="s">
        <v>73</v>
      </c>
      <c r="J633">
        <v>26</v>
      </c>
      <c r="K633" t="s">
        <v>77</v>
      </c>
    </row>
    <row r="634" spans="1:11" x14ac:dyDescent="0.3">
      <c r="A634" t="s">
        <v>763</v>
      </c>
      <c r="B634" t="s">
        <v>52</v>
      </c>
      <c r="C634" s="7">
        <v>45661</v>
      </c>
      <c r="D634" s="7">
        <v>45673</v>
      </c>
      <c r="E634">
        <v>12</v>
      </c>
      <c r="F634">
        <v>172992.61491109096</v>
      </c>
      <c r="G634">
        <v>6476.16</v>
      </c>
      <c r="H634" t="s">
        <v>79</v>
      </c>
      <c r="I634" t="s">
        <v>69</v>
      </c>
      <c r="J634">
        <v>56</v>
      </c>
      <c r="K634" t="s">
        <v>59</v>
      </c>
    </row>
    <row r="635" spans="1:11" x14ac:dyDescent="0.3">
      <c r="A635" t="s">
        <v>764</v>
      </c>
      <c r="B635" t="s">
        <v>42</v>
      </c>
      <c r="C635" s="7">
        <v>45796</v>
      </c>
      <c r="D635" s="7">
        <v>45803</v>
      </c>
      <c r="E635">
        <v>7</v>
      </c>
      <c r="F635">
        <v>351759.37797688879</v>
      </c>
      <c r="G635">
        <v>13359.66</v>
      </c>
      <c r="H635" t="s">
        <v>65</v>
      </c>
      <c r="I635" t="s">
        <v>62</v>
      </c>
      <c r="J635">
        <v>17</v>
      </c>
      <c r="K635" t="s">
        <v>89</v>
      </c>
    </row>
    <row r="636" spans="1:11" x14ac:dyDescent="0.3">
      <c r="A636" t="s">
        <v>765</v>
      </c>
      <c r="B636" t="s">
        <v>48</v>
      </c>
      <c r="C636" s="7">
        <v>45461</v>
      </c>
      <c r="D636" s="7">
        <v>45469</v>
      </c>
      <c r="E636">
        <v>8</v>
      </c>
      <c r="F636">
        <v>256928.95051122495</v>
      </c>
      <c r="G636">
        <v>4539.95</v>
      </c>
      <c r="H636" t="s">
        <v>68</v>
      </c>
      <c r="I636" t="s">
        <v>83</v>
      </c>
      <c r="J636">
        <v>29</v>
      </c>
      <c r="K636" t="s">
        <v>70</v>
      </c>
    </row>
    <row r="637" spans="1:11" x14ac:dyDescent="0.3">
      <c r="A637" t="s">
        <v>766</v>
      </c>
      <c r="B637" t="s">
        <v>48</v>
      </c>
      <c r="C637" s="7">
        <v>45425</v>
      </c>
      <c r="D637" s="7">
        <v>45430</v>
      </c>
      <c r="E637">
        <v>5</v>
      </c>
      <c r="F637">
        <v>698154.91466387548</v>
      </c>
      <c r="G637">
        <v>8062.77</v>
      </c>
      <c r="H637" t="s">
        <v>68</v>
      </c>
      <c r="I637" t="s">
        <v>73</v>
      </c>
      <c r="J637">
        <v>12</v>
      </c>
      <c r="K637" t="s">
        <v>59</v>
      </c>
    </row>
    <row r="638" spans="1:11" x14ac:dyDescent="0.3">
      <c r="A638" t="s">
        <v>767</v>
      </c>
      <c r="B638" t="s">
        <v>38</v>
      </c>
      <c r="C638" s="7">
        <v>45714</v>
      </c>
      <c r="D638" s="7">
        <v>45714</v>
      </c>
      <c r="E638">
        <v>0</v>
      </c>
      <c r="F638">
        <v>142522.56657474171</v>
      </c>
      <c r="G638">
        <v>14657.28</v>
      </c>
      <c r="H638" t="s">
        <v>65</v>
      </c>
      <c r="I638" t="s">
        <v>83</v>
      </c>
      <c r="J638">
        <v>25</v>
      </c>
      <c r="K638" t="s">
        <v>77</v>
      </c>
    </row>
    <row r="639" spans="1:11" x14ac:dyDescent="0.3">
      <c r="A639" t="s">
        <v>768</v>
      </c>
      <c r="B639" t="s">
        <v>43</v>
      </c>
      <c r="C639" s="7">
        <v>45929</v>
      </c>
      <c r="D639" s="7">
        <v>45935</v>
      </c>
      <c r="E639">
        <v>6</v>
      </c>
      <c r="F639">
        <v>383697.89298727637</v>
      </c>
      <c r="G639">
        <v>2922.17</v>
      </c>
      <c r="H639" t="s">
        <v>65</v>
      </c>
      <c r="I639" t="s">
        <v>62</v>
      </c>
      <c r="J639">
        <v>47</v>
      </c>
      <c r="K639" t="s">
        <v>59</v>
      </c>
    </row>
    <row r="640" spans="1:11" x14ac:dyDescent="0.3">
      <c r="A640" t="s">
        <v>769</v>
      </c>
      <c r="B640" t="s">
        <v>39</v>
      </c>
      <c r="C640" s="7">
        <v>45668</v>
      </c>
      <c r="D640" s="7">
        <v>45672</v>
      </c>
      <c r="E640">
        <v>4</v>
      </c>
      <c r="F640">
        <v>587700.43368840718</v>
      </c>
      <c r="G640">
        <v>8179.53</v>
      </c>
      <c r="H640" t="s">
        <v>79</v>
      </c>
      <c r="I640" t="s">
        <v>73</v>
      </c>
      <c r="J640">
        <v>45</v>
      </c>
      <c r="K640" t="s">
        <v>59</v>
      </c>
    </row>
    <row r="641" spans="1:11" x14ac:dyDescent="0.3">
      <c r="A641" t="s">
        <v>770</v>
      </c>
      <c r="B641" t="s">
        <v>47</v>
      </c>
      <c r="C641" s="7">
        <v>45958</v>
      </c>
      <c r="D641" s="7">
        <v>45962</v>
      </c>
      <c r="E641">
        <v>4</v>
      </c>
      <c r="F641">
        <v>712365.12439495639</v>
      </c>
      <c r="G641">
        <v>11718.97</v>
      </c>
      <c r="H641" t="s">
        <v>61</v>
      </c>
      <c r="I641" t="s">
        <v>58</v>
      </c>
      <c r="J641">
        <v>43</v>
      </c>
      <c r="K641" t="s">
        <v>59</v>
      </c>
    </row>
    <row r="642" spans="1:11" x14ac:dyDescent="0.3">
      <c r="A642" t="s">
        <v>771</v>
      </c>
      <c r="B642" t="s">
        <v>53</v>
      </c>
      <c r="C642" s="7">
        <v>45664</v>
      </c>
      <c r="D642" s="7">
        <v>45668</v>
      </c>
      <c r="E642">
        <v>4</v>
      </c>
      <c r="F642">
        <v>7971.7669662001463</v>
      </c>
      <c r="G642">
        <v>3265.62</v>
      </c>
      <c r="H642" t="s">
        <v>79</v>
      </c>
      <c r="I642" t="s">
        <v>69</v>
      </c>
      <c r="J642">
        <v>43</v>
      </c>
      <c r="K642" t="s">
        <v>66</v>
      </c>
    </row>
    <row r="643" spans="1:11" x14ac:dyDescent="0.3">
      <c r="A643" t="s">
        <v>773</v>
      </c>
      <c r="B643" t="s">
        <v>43</v>
      </c>
      <c r="C643" s="7">
        <v>45808</v>
      </c>
      <c r="D643" s="7">
        <v>45821</v>
      </c>
      <c r="E643">
        <v>13</v>
      </c>
      <c r="F643">
        <v>425139.52148250863</v>
      </c>
      <c r="G643">
        <v>7036.82</v>
      </c>
      <c r="H643" t="s">
        <v>65</v>
      </c>
      <c r="I643" t="s">
        <v>69</v>
      </c>
      <c r="J643">
        <v>14</v>
      </c>
      <c r="K643" t="s">
        <v>77</v>
      </c>
    </row>
    <row r="644" spans="1:11" x14ac:dyDescent="0.3">
      <c r="A644" t="s">
        <v>774</v>
      </c>
      <c r="B644" t="s">
        <v>48</v>
      </c>
      <c r="C644" s="7">
        <v>45894</v>
      </c>
      <c r="D644" s="7">
        <v>45894</v>
      </c>
      <c r="E644">
        <v>0</v>
      </c>
      <c r="F644">
        <v>630541.29751361627</v>
      </c>
      <c r="G644">
        <v>8655.44</v>
      </c>
      <c r="H644" t="s">
        <v>57</v>
      </c>
      <c r="I644" t="s">
        <v>69</v>
      </c>
      <c r="J644">
        <v>36</v>
      </c>
      <c r="K644" t="s">
        <v>70</v>
      </c>
    </row>
    <row r="645" spans="1:11" x14ac:dyDescent="0.3">
      <c r="A645" t="s">
        <v>775</v>
      </c>
      <c r="B645" t="s">
        <v>41</v>
      </c>
      <c r="C645" s="7">
        <v>46021</v>
      </c>
      <c r="D645" s="7">
        <v>46025</v>
      </c>
      <c r="E645">
        <v>4</v>
      </c>
      <c r="F645">
        <v>280275.79220858653</v>
      </c>
      <c r="G645">
        <v>4867</v>
      </c>
      <c r="H645" t="s">
        <v>65</v>
      </c>
      <c r="I645" t="s">
        <v>69</v>
      </c>
      <c r="J645">
        <v>2</v>
      </c>
      <c r="K645" t="s">
        <v>66</v>
      </c>
    </row>
    <row r="646" spans="1:11" x14ac:dyDescent="0.3">
      <c r="A646" t="s">
        <v>776</v>
      </c>
      <c r="B646" t="s">
        <v>47</v>
      </c>
      <c r="C646" s="7">
        <v>45903</v>
      </c>
      <c r="D646" s="7">
        <v>45909</v>
      </c>
      <c r="E646">
        <v>6</v>
      </c>
      <c r="F646">
        <v>948761.58261741139</v>
      </c>
      <c r="G646">
        <v>546.44000000000005</v>
      </c>
      <c r="H646" t="s">
        <v>61</v>
      </c>
      <c r="I646" t="s">
        <v>58</v>
      </c>
      <c r="J646">
        <v>48</v>
      </c>
      <c r="K646" t="s">
        <v>89</v>
      </c>
    </row>
    <row r="647" spans="1:11" x14ac:dyDescent="0.3">
      <c r="A647" t="s">
        <v>777</v>
      </c>
      <c r="B647" t="s">
        <v>44</v>
      </c>
      <c r="C647" s="7">
        <v>45927</v>
      </c>
      <c r="D647" s="7">
        <v>45936</v>
      </c>
      <c r="E647">
        <v>9</v>
      </c>
      <c r="F647">
        <v>904126.42019611306</v>
      </c>
      <c r="G647">
        <v>2027.71</v>
      </c>
      <c r="H647" t="s">
        <v>68</v>
      </c>
      <c r="I647" t="s">
        <v>73</v>
      </c>
      <c r="J647">
        <v>14</v>
      </c>
      <c r="K647" t="s">
        <v>59</v>
      </c>
    </row>
    <row r="648" spans="1:11" x14ac:dyDescent="0.3">
      <c r="A648" t="s">
        <v>778</v>
      </c>
      <c r="B648" t="s">
        <v>40</v>
      </c>
      <c r="C648" s="7">
        <v>45786</v>
      </c>
      <c r="D648" s="7">
        <v>45794</v>
      </c>
      <c r="E648">
        <v>8</v>
      </c>
      <c r="F648">
        <v>391082.14625387202</v>
      </c>
      <c r="G648">
        <v>11318.96</v>
      </c>
      <c r="H648" t="s">
        <v>68</v>
      </c>
      <c r="I648" t="s">
        <v>58</v>
      </c>
      <c r="J648">
        <v>18</v>
      </c>
      <c r="K648" t="s">
        <v>70</v>
      </c>
    </row>
    <row r="649" spans="1:11" x14ac:dyDescent="0.3">
      <c r="A649" t="s">
        <v>780</v>
      </c>
      <c r="B649" t="s">
        <v>45</v>
      </c>
      <c r="C649" s="7">
        <v>45974</v>
      </c>
      <c r="D649" s="7">
        <v>45976</v>
      </c>
      <c r="E649">
        <v>2</v>
      </c>
      <c r="F649">
        <v>880474.0713749571</v>
      </c>
      <c r="G649">
        <v>2828.87</v>
      </c>
      <c r="H649" t="s">
        <v>61</v>
      </c>
      <c r="I649" t="s">
        <v>83</v>
      </c>
      <c r="J649">
        <v>35</v>
      </c>
      <c r="K649" t="s">
        <v>70</v>
      </c>
    </row>
    <row r="650" spans="1:11" x14ac:dyDescent="0.3">
      <c r="A650" t="s">
        <v>781</v>
      </c>
      <c r="B650" t="s">
        <v>48</v>
      </c>
      <c r="C650" s="7">
        <v>45473</v>
      </c>
      <c r="D650" s="7">
        <v>45479</v>
      </c>
      <c r="E650">
        <v>6</v>
      </c>
      <c r="F650">
        <v>554064.16287364915</v>
      </c>
      <c r="G650">
        <v>6387.88</v>
      </c>
      <c r="H650" t="s">
        <v>68</v>
      </c>
      <c r="I650" t="s">
        <v>69</v>
      </c>
      <c r="J650">
        <v>13</v>
      </c>
      <c r="K650" t="s">
        <v>59</v>
      </c>
    </row>
    <row r="651" spans="1:11" x14ac:dyDescent="0.3">
      <c r="A651" t="s">
        <v>783</v>
      </c>
      <c r="B651" t="s">
        <v>52</v>
      </c>
      <c r="C651" s="7">
        <v>45743</v>
      </c>
      <c r="D651" s="7">
        <v>45754</v>
      </c>
      <c r="E651">
        <v>11</v>
      </c>
      <c r="F651">
        <v>833699.08878720773</v>
      </c>
      <c r="G651">
        <v>2793.12</v>
      </c>
      <c r="H651" t="s">
        <v>65</v>
      </c>
      <c r="I651" t="s">
        <v>73</v>
      </c>
      <c r="J651">
        <v>21</v>
      </c>
      <c r="K651" t="s">
        <v>66</v>
      </c>
    </row>
    <row r="652" spans="1:11" x14ac:dyDescent="0.3">
      <c r="A652" t="s">
        <v>784</v>
      </c>
      <c r="B652" t="s">
        <v>39</v>
      </c>
      <c r="C652" s="7">
        <v>45889</v>
      </c>
      <c r="D652" s="7">
        <v>45896</v>
      </c>
      <c r="E652">
        <v>7</v>
      </c>
      <c r="F652">
        <v>439201.74127628375</v>
      </c>
      <c r="G652">
        <v>10318.33</v>
      </c>
      <c r="H652" t="s">
        <v>68</v>
      </c>
      <c r="I652" t="s">
        <v>73</v>
      </c>
      <c r="J652">
        <v>51</v>
      </c>
      <c r="K652" t="s">
        <v>66</v>
      </c>
    </row>
    <row r="653" spans="1:11" x14ac:dyDescent="0.3">
      <c r="A653" t="s">
        <v>786</v>
      </c>
      <c r="B653" t="s">
        <v>49</v>
      </c>
      <c r="C653" s="7">
        <v>46006</v>
      </c>
      <c r="D653" s="7">
        <v>46012</v>
      </c>
      <c r="E653">
        <v>6</v>
      </c>
      <c r="F653">
        <v>826494.58295519371</v>
      </c>
      <c r="G653">
        <v>14933.91</v>
      </c>
      <c r="H653" t="s">
        <v>79</v>
      </c>
      <c r="I653" t="s">
        <v>69</v>
      </c>
      <c r="J653">
        <v>5</v>
      </c>
      <c r="K653" t="s">
        <v>89</v>
      </c>
    </row>
    <row r="654" spans="1:11" x14ac:dyDescent="0.3">
      <c r="A654" t="s">
        <v>787</v>
      </c>
      <c r="B654" t="s">
        <v>53</v>
      </c>
      <c r="C654" s="7">
        <v>45767</v>
      </c>
      <c r="D654" s="7">
        <v>45778</v>
      </c>
      <c r="E654">
        <v>11</v>
      </c>
      <c r="F654">
        <v>740592.45827368065</v>
      </c>
      <c r="G654">
        <v>9776.92</v>
      </c>
      <c r="H654" t="s">
        <v>91</v>
      </c>
      <c r="I654" t="s">
        <v>83</v>
      </c>
      <c r="J654">
        <v>29</v>
      </c>
      <c r="K654" t="s">
        <v>89</v>
      </c>
    </row>
    <row r="655" spans="1:11" x14ac:dyDescent="0.3">
      <c r="A655" t="s">
        <v>788</v>
      </c>
      <c r="B655" t="s">
        <v>42</v>
      </c>
      <c r="C655" s="7">
        <v>45540</v>
      </c>
      <c r="D655" s="7">
        <v>45545</v>
      </c>
      <c r="E655">
        <v>5</v>
      </c>
      <c r="F655">
        <v>382453.63424400601</v>
      </c>
      <c r="G655">
        <v>13925.37</v>
      </c>
      <c r="H655" t="s">
        <v>65</v>
      </c>
      <c r="I655" t="s">
        <v>69</v>
      </c>
      <c r="J655">
        <v>28</v>
      </c>
      <c r="K655" t="s">
        <v>59</v>
      </c>
    </row>
    <row r="656" spans="1:11" x14ac:dyDescent="0.3">
      <c r="A656" t="s">
        <v>789</v>
      </c>
      <c r="B656" t="s">
        <v>53</v>
      </c>
      <c r="C656" s="7">
        <v>45902</v>
      </c>
      <c r="D656" s="7">
        <v>45905</v>
      </c>
      <c r="E656">
        <v>3</v>
      </c>
      <c r="F656">
        <v>254338.80903340134</v>
      </c>
      <c r="G656">
        <v>5084.38</v>
      </c>
      <c r="H656" t="s">
        <v>65</v>
      </c>
      <c r="I656" t="s">
        <v>83</v>
      </c>
      <c r="J656">
        <v>30</v>
      </c>
      <c r="K656" t="s">
        <v>89</v>
      </c>
    </row>
    <row r="657" spans="1:11" x14ac:dyDescent="0.3">
      <c r="A657" t="s">
        <v>790</v>
      </c>
      <c r="B657" t="s">
        <v>50</v>
      </c>
      <c r="C657" s="7">
        <v>45725</v>
      </c>
      <c r="D657" s="7">
        <v>45736</v>
      </c>
      <c r="E657">
        <v>11</v>
      </c>
      <c r="F657">
        <v>425413.90625897259</v>
      </c>
      <c r="G657">
        <v>11853.13</v>
      </c>
      <c r="H657" t="s">
        <v>65</v>
      </c>
      <c r="I657" t="s">
        <v>62</v>
      </c>
      <c r="J657">
        <v>37</v>
      </c>
      <c r="K657" t="s">
        <v>70</v>
      </c>
    </row>
    <row r="658" spans="1:11" x14ac:dyDescent="0.3">
      <c r="A658" t="s">
        <v>791</v>
      </c>
      <c r="B658" t="s">
        <v>50</v>
      </c>
      <c r="C658" s="7">
        <v>45890</v>
      </c>
      <c r="D658" s="7">
        <v>45894</v>
      </c>
      <c r="E658">
        <v>4</v>
      </c>
      <c r="F658">
        <v>27807.499764736564</v>
      </c>
      <c r="G658">
        <v>13226.52</v>
      </c>
      <c r="H658" t="s">
        <v>91</v>
      </c>
      <c r="I658" t="s">
        <v>62</v>
      </c>
      <c r="J658">
        <v>46</v>
      </c>
      <c r="K658" t="s">
        <v>70</v>
      </c>
    </row>
    <row r="659" spans="1:11" x14ac:dyDescent="0.3">
      <c r="A659" t="s">
        <v>792</v>
      </c>
      <c r="B659" t="s">
        <v>49</v>
      </c>
      <c r="C659" s="7">
        <v>46019</v>
      </c>
      <c r="D659" s="7">
        <v>46023</v>
      </c>
      <c r="E659">
        <v>4</v>
      </c>
      <c r="F659">
        <v>454482.17866556294</v>
      </c>
      <c r="G659">
        <v>6709.96</v>
      </c>
      <c r="H659" t="s">
        <v>61</v>
      </c>
      <c r="I659" t="s">
        <v>73</v>
      </c>
      <c r="J659">
        <v>48</v>
      </c>
      <c r="K659" t="s">
        <v>66</v>
      </c>
    </row>
    <row r="660" spans="1:11" x14ac:dyDescent="0.3">
      <c r="A660" t="s">
        <v>793</v>
      </c>
      <c r="B660" t="s">
        <v>47</v>
      </c>
      <c r="C660" s="7">
        <v>45833</v>
      </c>
      <c r="D660" s="7">
        <v>45837</v>
      </c>
      <c r="E660">
        <v>4</v>
      </c>
      <c r="F660">
        <v>607813.09186318959</v>
      </c>
      <c r="G660">
        <v>614.47</v>
      </c>
      <c r="H660" t="s">
        <v>76</v>
      </c>
      <c r="I660" t="s">
        <v>58</v>
      </c>
      <c r="J660">
        <v>20</v>
      </c>
      <c r="K660" t="s">
        <v>66</v>
      </c>
    </row>
    <row r="661" spans="1:11" x14ac:dyDescent="0.3">
      <c r="A661" t="s">
        <v>794</v>
      </c>
      <c r="B661" t="s">
        <v>42</v>
      </c>
      <c r="C661" s="7">
        <v>45987</v>
      </c>
      <c r="D661" s="7">
        <v>45998</v>
      </c>
      <c r="E661">
        <v>11</v>
      </c>
      <c r="F661">
        <v>829504.55854700482</v>
      </c>
      <c r="G661">
        <v>7848.91</v>
      </c>
      <c r="H661" t="s">
        <v>68</v>
      </c>
      <c r="I661" t="s">
        <v>58</v>
      </c>
      <c r="J661">
        <v>58</v>
      </c>
      <c r="K661" t="s">
        <v>66</v>
      </c>
    </row>
    <row r="662" spans="1:11" x14ac:dyDescent="0.3">
      <c r="A662" t="s">
        <v>795</v>
      </c>
      <c r="B662" t="s">
        <v>48</v>
      </c>
      <c r="C662" s="7">
        <v>45883</v>
      </c>
      <c r="D662" s="7">
        <v>45888</v>
      </c>
      <c r="E662">
        <v>5</v>
      </c>
      <c r="F662">
        <v>500110.08045170637</v>
      </c>
      <c r="G662">
        <v>5794.09</v>
      </c>
      <c r="H662" t="s">
        <v>68</v>
      </c>
      <c r="I662" t="s">
        <v>73</v>
      </c>
      <c r="J662">
        <v>56</v>
      </c>
      <c r="K662" t="s">
        <v>77</v>
      </c>
    </row>
    <row r="663" spans="1:11" x14ac:dyDescent="0.3">
      <c r="A663" t="s">
        <v>796</v>
      </c>
      <c r="B663" t="s">
        <v>40</v>
      </c>
      <c r="C663" s="7">
        <v>45531</v>
      </c>
      <c r="D663" s="7">
        <v>45541</v>
      </c>
      <c r="E663">
        <v>10</v>
      </c>
      <c r="F663">
        <v>902349.90579849831</v>
      </c>
      <c r="G663">
        <v>5267.03</v>
      </c>
      <c r="H663" t="s">
        <v>61</v>
      </c>
      <c r="I663" t="s">
        <v>73</v>
      </c>
      <c r="J663">
        <v>15</v>
      </c>
      <c r="K663" t="s">
        <v>66</v>
      </c>
    </row>
    <row r="664" spans="1:11" x14ac:dyDescent="0.3">
      <c r="A664" t="s">
        <v>797</v>
      </c>
      <c r="B664" t="s">
        <v>47</v>
      </c>
      <c r="C664" s="7">
        <v>45774</v>
      </c>
      <c r="D664" s="7">
        <v>45784</v>
      </c>
      <c r="E664">
        <v>10</v>
      </c>
      <c r="F664">
        <v>190182.31303659815</v>
      </c>
      <c r="G664">
        <v>7582.1</v>
      </c>
      <c r="H664" t="s">
        <v>91</v>
      </c>
      <c r="I664" t="s">
        <v>83</v>
      </c>
      <c r="J664">
        <v>54</v>
      </c>
      <c r="K664" t="s">
        <v>77</v>
      </c>
    </row>
    <row r="665" spans="1:11" x14ac:dyDescent="0.3">
      <c r="A665" t="s">
        <v>799</v>
      </c>
      <c r="B665" t="s">
        <v>50</v>
      </c>
      <c r="C665" s="7">
        <v>45886</v>
      </c>
      <c r="D665" s="7">
        <v>45894</v>
      </c>
      <c r="E665">
        <v>8</v>
      </c>
      <c r="F665">
        <v>238637.26723024351</v>
      </c>
      <c r="G665">
        <v>3989.87</v>
      </c>
      <c r="H665" t="s">
        <v>65</v>
      </c>
      <c r="I665" t="s">
        <v>73</v>
      </c>
      <c r="J665">
        <v>45</v>
      </c>
      <c r="K665" t="s">
        <v>66</v>
      </c>
    </row>
    <row r="666" spans="1:11" x14ac:dyDescent="0.3">
      <c r="A666" t="s">
        <v>800</v>
      </c>
      <c r="B666" t="s">
        <v>49</v>
      </c>
      <c r="C666" s="7">
        <v>45822</v>
      </c>
      <c r="D666" s="7">
        <v>45822</v>
      </c>
      <c r="E666">
        <v>0</v>
      </c>
      <c r="F666">
        <v>933142.61030717089</v>
      </c>
      <c r="G666">
        <v>4133.3</v>
      </c>
      <c r="H666" t="s">
        <v>61</v>
      </c>
      <c r="I666" t="s">
        <v>83</v>
      </c>
      <c r="J666">
        <v>48</v>
      </c>
      <c r="K666" t="s">
        <v>66</v>
      </c>
    </row>
    <row r="667" spans="1:11" x14ac:dyDescent="0.3">
      <c r="A667" t="s">
        <v>801</v>
      </c>
      <c r="B667" t="s">
        <v>53</v>
      </c>
      <c r="C667" s="7">
        <v>45678</v>
      </c>
      <c r="D667" s="7">
        <v>45678</v>
      </c>
      <c r="E667">
        <v>0</v>
      </c>
      <c r="F667">
        <v>200427.28165780829</v>
      </c>
      <c r="G667">
        <v>3810.32</v>
      </c>
      <c r="H667" t="s">
        <v>79</v>
      </c>
      <c r="I667" t="s">
        <v>58</v>
      </c>
      <c r="J667">
        <v>31</v>
      </c>
      <c r="K667" t="s">
        <v>89</v>
      </c>
    </row>
    <row r="668" spans="1:11" x14ac:dyDescent="0.3">
      <c r="A668" t="s">
        <v>802</v>
      </c>
      <c r="B668" t="s">
        <v>46</v>
      </c>
      <c r="C668" s="7">
        <v>45951</v>
      </c>
      <c r="D668" s="7">
        <v>45952</v>
      </c>
      <c r="E668">
        <v>1</v>
      </c>
      <c r="F668">
        <v>189691.97727865804</v>
      </c>
      <c r="G668">
        <v>1922.81</v>
      </c>
      <c r="H668" t="s">
        <v>57</v>
      </c>
      <c r="I668" t="s">
        <v>69</v>
      </c>
      <c r="J668">
        <v>13</v>
      </c>
      <c r="K668" t="s">
        <v>59</v>
      </c>
    </row>
    <row r="669" spans="1:11" x14ac:dyDescent="0.3">
      <c r="A669" t="s">
        <v>803</v>
      </c>
      <c r="B669" t="s">
        <v>38</v>
      </c>
      <c r="C669" s="7">
        <v>45853</v>
      </c>
      <c r="D669" s="7">
        <v>45862</v>
      </c>
      <c r="E669">
        <v>9</v>
      </c>
      <c r="F669">
        <v>260259.67682552288</v>
      </c>
      <c r="G669">
        <v>9540.7000000000007</v>
      </c>
      <c r="H669" t="s">
        <v>61</v>
      </c>
      <c r="I669" t="s">
        <v>58</v>
      </c>
      <c r="J669">
        <v>31</v>
      </c>
      <c r="K669" t="s">
        <v>77</v>
      </c>
    </row>
    <row r="670" spans="1:11" x14ac:dyDescent="0.3">
      <c r="A670" t="s">
        <v>804</v>
      </c>
      <c r="B670" t="s">
        <v>48</v>
      </c>
      <c r="C670" s="7">
        <v>45965</v>
      </c>
      <c r="D670" s="7">
        <v>45968</v>
      </c>
      <c r="E670">
        <v>3</v>
      </c>
      <c r="F670">
        <v>327107.30314148712</v>
      </c>
      <c r="G670">
        <v>10232.07</v>
      </c>
      <c r="H670" t="s">
        <v>91</v>
      </c>
      <c r="I670" t="s">
        <v>62</v>
      </c>
      <c r="J670">
        <v>41</v>
      </c>
      <c r="K670" t="s">
        <v>89</v>
      </c>
    </row>
    <row r="671" spans="1:11" x14ac:dyDescent="0.3">
      <c r="A671" t="s">
        <v>805</v>
      </c>
      <c r="B671" t="s">
        <v>50</v>
      </c>
      <c r="C671" s="7">
        <v>45373</v>
      </c>
      <c r="D671" s="7">
        <v>45378</v>
      </c>
      <c r="E671">
        <v>5</v>
      </c>
      <c r="F671">
        <v>851471.85456270073</v>
      </c>
      <c r="G671">
        <v>7741.31</v>
      </c>
      <c r="H671" t="s">
        <v>68</v>
      </c>
      <c r="I671" t="s">
        <v>73</v>
      </c>
      <c r="J671">
        <v>12</v>
      </c>
      <c r="K671" t="s">
        <v>59</v>
      </c>
    </row>
    <row r="672" spans="1:11" x14ac:dyDescent="0.3">
      <c r="A672" t="s">
        <v>806</v>
      </c>
      <c r="B672" t="s">
        <v>48</v>
      </c>
      <c r="C672" s="7">
        <v>45869</v>
      </c>
      <c r="D672" s="7">
        <v>45874</v>
      </c>
      <c r="E672">
        <v>5</v>
      </c>
      <c r="F672">
        <v>608876.96802193264</v>
      </c>
      <c r="G672">
        <v>8171.13</v>
      </c>
      <c r="H672" t="s">
        <v>76</v>
      </c>
      <c r="I672" t="s">
        <v>73</v>
      </c>
      <c r="J672">
        <v>50</v>
      </c>
      <c r="K672" t="s">
        <v>59</v>
      </c>
    </row>
    <row r="673" spans="1:11" x14ac:dyDescent="0.3">
      <c r="A673" t="s">
        <v>807</v>
      </c>
      <c r="B673" t="s">
        <v>41</v>
      </c>
      <c r="C673" s="7">
        <v>45741</v>
      </c>
      <c r="D673" s="7">
        <v>45746</v>
      </c>
      <c r="E673">
        <v>5</v>
      </c>
      <c r="F673">
        <v>730929.92215251073</v>
      </c>
      <c r="G673">
        <v>7183.76</v>
      </c>
      <c r="H673" t="s">
        <v>65</v>
      </c>
      <c r="I673" t="s">
        <v>62</v>
      </c>
      <c r="J673">
        <v>60</v>
      </c>
      <c r="K673" t="s">
        <v>77</v>
      </c>
    </row>
    <row r="674" spans="1:11" x14ac:dyDescent="0.3">
      <c r="A674" t="s">
        <v>808</v>
      </c>
      <c r="B674" t="s">
        <v>47</v>
      </c>
      <c r="C674" s="7">
        <v>45932</v>
      </c>
      <c r="D674" s="7">
        <v>45934</v>
      </c>
      <c r="E674">
        <v>2</v>
      </c>
      <c r="F674">
        <v>185398.36364695433</v>
      </c>
      <c r="G674">
        <v>6064.35</v>
      </c>
      <c r="H674" t="s">
        <v>76</v>
      </c>
      <c r="I674" t="s">
        <v>73</v>
      </c>
      <c r="J674">
        <v>40</v>
      </c>
      <c r="K674" t="s">
        <v>66</v>
      </c>
    </row>
    <row r="675" spans="1:11" x14ac:dyDescent="0.3">
      <c r="A675" t="s">
        <v>809</v>
      </c>
      <c r="B675" t="s">
        <v>40</v>
      </c>
      <c r="C675" s="7">
        <v>45785</v>
      </c>
      <c r="D675" s="7">
        <v>45798</v>
      </c>
      <c r="E675">
        <v>13</v>
      </c>
      <c r="F675">
        <v>710793.12827979866</v>
      </c>
      <c r="G675">
        <v>6855.68</v>
      </c>
      <c r="H675" t="s">
        <v>68</v>
      </c>
      <c r="I675" t="s">
        <v>58</v>
      </c>
      <c r="J675">
        <v>26</v>
      </c>
      <c r="K675" t="s">
        <v>89</v>
      </c>
    </row>
    <row r="676" spans="1:11" x14ac:dyDescent="0.3">
      <c r="A676" t="s">
        <v>810</v>
      </c>
      <c r="B676" t="s">
        <v>50</v>
      </c>
      <c r="C676" s="7">
        <v>45893</v>
      </c>
      <c r="D676" s="7">
        <v>45898</v>
      </c>
      <c r="E676">
        <v>5</v>
      </c>
      <c r="F676">
        <v>616387.61612768658</v>
      </c>
      <c r="G676">
        <v>2270.9699999999998</v>
      </c>
      <c r="H676" t="s">
        <v>68</v>
      </c>
      <c r="I676" t="s">
        <v>62</v>
      </c>
      <c r="J676">
        <v>2</v>
      </c>
      <c r="K676" t="s">
        <v>66</v>
      </c>
    </row>
    <row r="677" spans="1:11" x14ac:dyDescent="0.3">
      <c r="A677" t="s">
        <v>811</v>
      </c>
      <c r="B677" t="s">
        <v>48</v>
      </c>
      <c r="C677" s="7">
        <v>45936</v>
      </c>
      <c r="D677" s="7">
        <v>45949</v>
      </c>
      <c r="E677">
        <v>13</v>
      </c>
      <c r="F677">
        <v>357808.54605800501</v>
      </c>
      <c r="G677">
        <v>4963.32</v>
      </c>
      <c r="H677" t="s">
        <v>79</v>
      </c>
      <c r="I677" t="s">
        <v>69</v>
      </c>
      <c r="J677">
        <v>21</v>
      </c>
      <c r="K677" t="s">
        <v>77</v>
      </c>
    </row>
    <row r="678" spans="1:11" x14ac:dyDescent="0.3">
      <c r="A678" t="s">
        <v>812</v>
      </c>
      <c r="B678" t="s">
        <v>50</v>
      </c>
      <c r="C678" s="7">
        <v>45917</v>
      </c>
      <c r="D678" s="7">
        <v>45924</v>
      </c>
      <c r="E678">
        <v>7</v>
      </c>
      <c r="F678">
        <v>816372.83342341403</v>
      </c>
      <c r="G678">
        <v>1781.15</v>
      </c>
      <c r="H678" t="s">
        <v>76</v>
      </c>
      <c r="I678" t="s">
        <v>73</v>
      </c>
      <c r="J678">
        <v>21</v>
      </c>
      <c r="K678" t="s">
        <v>89</v>
      </c>
    </row>
    <row r="679" spans="1:11" x14ac:dyDescent="0.3">
      <c r="A679" t="s">
        <v>814</v>
      </c>
      <c r="B679" t="s">
        <v>38</v>
      </c>
      <c r="C679" s="7">
        <v>45889</v>
      </c>
      <c r="D679" s="7">
        <v>45897</v>
      </c>
      <c r="E679">
        <v>8</v>
      </c>
      <c r="F679">
        <v>353985.57853593043</v>
      </c>
      <c r="G679">
        <v>13869.37</v>
      </c>
      <c r="H679" t="s">
        <v>57</v>
      </c>
      <c r="I679" t="s">
        <v>69</v>
      </c>
      <c r="J679">
        <v>9</v>
      </c>
      <c r="K679" t="s">
        <v>59</v>
      </c>
    </row>
    <row r="680" spans="1:11" x14ac:dyDescent="0.3">
      <c r="A680" t="s">
        <v>815</v>
      </c>
      <c r="B680" t="s">
        <v>50</v>
      </c>
      <c r="C680" s="7">
        <v>45795</v>
      </c>
      <c r="D680" s="7">
        <v>45808</v>
      </c>
      <c r="E680">
        <v>13</v>
      </c>
      <c r="F680">
        <v>146006.36402590957</v>
      </c>
      <c r="G680">
        <v>4623.0600000000004</v>
      </c>
      <c r="H680" t="s">
        <v>76</v>
      </c>
      <c r="I680" t="s">
        <v>58</v>
      </c>
      <c r="J680">
        <v>6</v>
      </c>
      <c r="K680" t="s">
        <v>89</v>
      </c>
    </row>
    <row r="681" spans="1:11" x14ac:dyDescent="0.3">
      <c r="A681" t="s">
        <v>816</v>
      </c>
      <c r="B681" t="s">
        <v>52</v>
      </c>
      <c r="C681" s="7">
        <v>45924</v>
      </c>
      <c r="D681" s="7">
        <v>45935</v>
      </c>
      <c r="E681">
        <v>11</v>
      </c>
      <c r="F681">
        <v>843132.97092799097</v>
      </c>
      <c r="G681">
        <v>2925.27</v>
      </c>
      <c r="H681" t="s">
        <v>68</v>
      </c>
      <c r="I681" t="s">
        <v>73</v>
      </c>
      <c r="J681">
        <v>30</v>
      </c>
      <c r="K681" t="s">
        <v>70</v>
      </c>
    </row>
    <row r="682" spans="1:11" x14ac:dyDescent="0.3">
      <c r="A682" t="s">
        <v>817</v>
      </c>
      <c r="B682" t="s">
        <v>41</v>
      </c>
      <c r="C682" s="7">
        <v>45884</v>
      </c>
      <c r="D682" s="7">
        <v>45888</v>
      </c>
      <c r="E682">
        <v>4</v>
      </c>
      <c r="F682">
        <v>576339.50661292137</v>
      </c>
      <c r="G682">
        <v>14003.68</v>
      </c>
      <c r="H682" t="s">
        <v>76</v>
      </c>
      <c r="I682" t="s">
        <v>83</v>
      </c>
      <c r="J682">
        <v>42</v>
      </c>
      <c r="K682" t="s">
        <v>89</v>
      </c>
    </row>
    <row r="683" spans="1:11" x14ac:dyDescent="0.3">
      <c r="A683" t="s">
        <v>818</v>
      </c>
      <c r="B683" t="s">
        <v>44</v>
      </c>
      <c r="C683" s="7">
        <v>45579</v>
      </c>
      <c r="D683" s="7">
        <v>45592</v>
      </c>
      <c r="E683">
        <v>13</v>
      </c>
      <c r="F683">
        <v>504914.98978955229</v>
      </c>
      <c r="G683">
        <v>13712.14</v>
      </c>
      <c r="H683" t="s">
        <v>91</v>
      </c>
      <c r="I683" t="s">
        <v>62</v>
      </c>
      <c r="J683">
        <v>2</v>
      </c>
      <c r="K683" t="s">
        <v>77</v>
      </c>
    </row>
    <row r="684" spans="1:11" x14ac:dyDescent="0.3">
      <c r="A684" t="s">
        <v>819</v>
      </c>
      <c r="B684" t="s">
        <v>38</v>
      </c>
      <c r="C684" s="7">
        <v>45897</v>
      </c>
      <c r="D684" s="7">
        <v>45909</v>
      </c>
      <c r="E684">
        <v>12</v>
      </c>
      <c r="F684">
        <v>514801.73384149006</v>
      </c>
      <c r="G684">
        <v>4383.17</v>
      </c>
      <c r="H684" t="s">
        <v>61</v>
      </c>
      <c r="I684" t="s">
        <v>83</v>
      </c>
      <c r="J684">
        <v>48</v>
      </c>
      <c r="K684" t="s">
        <v>59</v>
      </c>
    </row>
    <row r="685" spans="1:11" x14ac:dyDescent="0.3">
      <c r="A685" t="s">
        <v>820</v>
      </c>
      <c r="B685" t="s">
        <v>46</v>
      </c>
      <c r="C685" s="7">
        <v>45502</v>
      </c>
      <c r="D685" s="7">
        <v>45514</v>
      </c>
      <c r="E685">
        <v>12</v>
      </c>
      <c r="F685">
        <v>490769.56535291427</v>
      </c>
      <c r="G685">
        <v>12801.99</v>
      </c>
      <c r="H685" t="s">
        <v>91</v>
      </c>
      <c r="I685" t="s">
        <v>69</v>
      </c>
      <c r="J685">
        <v>40</v>
      </c>
      <c r="K685" t="s">
        <v>66</v>
      </c>
    </row>
    <row r="686" spans="1:11" x14ac:dyDescent="0.3">
      <c r="A686" t="s">
        <v>821</v>
      </c>
      <c r="B686" t="s">
        <v>50</v>
      </c>
      <c r="C686" s="7">
        <v>45893</v>
      </c>
      <c r="D686" s="7">
        <v>45900</v>
      </c>
      <c r="E686">
        <v>7</v>
      </c>
      <c r="F686">
        <v>431696.17437009409</v>
      </c>
      <c r="G686">
        <v>13232</v>
      </c>
      <c r="H686" t="s">
        <v>65</v>
      </c>
      <c r="I686" t="s">
        <v>73</v>
      </c>
      <c r="J686">
        <v>42</v>
      </c>
      <c r="K686" t="s">
        <v>70</v>
      </c>
    </row>
    <row r="687" spans="1:11" x14ac:dyDescent="0.3">
      <c r="A687" t="s">
        <v>822</v>
      </c>
      <c r="B687" t="s">
        <v>40</v>
      </c>
      <c r="C687" s="7">
        <v>45962</v>
      </c>
      <c r="D687" s="7">
        <v>45969</v>
      </c>
      <c r="E687">
        <v>7</v>
      </c>
      <c r="F687">
        <v>504265.86654523259</v>
      </c>
      <c r="G687">
        <v>10450.280000000001</v>
      </c>
      <c r="H687" t="s">
        <v>79</v>
      </c>
      <c r="I687" t="s">
        <v>69</v>
      </c>
      <c r="J687">
        <v>57</v>
      </c>
      <c r="K687" t="s">
        <v>59</v>
      </c>
    </row>
    <row r="688" spans="1:11" x14ac:dyDescent="0.3">
      <c r="A688" t="s">
        <v>823</v>
      </c>
      <c r="B688" t="s">
        <v>47</v>
      </c>
      <c r="C688" s="7">
        <v>45955</v>
      </c>
      <c r="D688" s="7">
        <v>45963</v>
      </c>
      <c r="E688">
        <v>8</v>
      </c>
      <c r="F688">
        <v>437834.89859352837</v>
      </c>
      <c r="G688">
        <v>10047.950000000001</v>
      </c>
      <c r="H688" t="s">
        <v>79</v>
      </c>
      <c r="I688" t="s">
        <v>58</v>
      </c>
      <c r="J688">
        <v>60</v>
      </c>
      <c r="K688" t="s">
        <v>70</v>
      </c>
    </row>
    <row r="689" spans="1:11" x14ac:dyDescent="0.3">
      <c r="A689" t="s">
        <v>824</v>
      </c>
      <c r="B689" t="s">
        <v>41</v>
      </c>
      <c r="C689" s="7">
        <v>45673</v>
      </c>
      <c r="D689" s="7">
        <v>45675</v>
      </c>
      <c r="E689">
        <v>2</v>
      </c>
      <c r="F689">
        <v>98981.767509571408</v>
      </c>
      <c r="G689">
        <v>8094.65</v>
      </c>
      <c r="H689" t="s">
        <v>79</v>
      </c>
      <c r="I689" t="s">
        <v>83</v>
      </c>
      <c r="J689">
        <v>50</v>
      </c>
      <c r="K689" t="s">
        <v>66</v>
      </c>
    </row>
    <row r="690" spans="1:11" x14ac:dyDescent="0.3">
      <c r="A690" t="s">
        <v>825</v>
      </c>
      <c r="B690" t="s">
        <v>39</v>
      </c>
      <c r="C690" s="7">
        <v>45793</v>
      </c>
      <c r="D690" s="7">
        <v>45807</v>
      </c>
      <c r="E690">
        <v>14</v>
      </c>
      <c r="F690">
        <v>221670.50673561325</v>
      </c>
      <c r="G690">
        <v>3290.35</v>
      </c>
      <c r="H690" t="s">
        <v>61</v>
      </c>
      <c r="I690" t="s">
        <v>73</v>
      </c>
      <c r="J690">
        <v>28</v>
      </c>
      <c r="K690" t="s">
        <v>70</v>
      </c>
    </row>
    <row r="691" spans="1:11" x14ac:dyDescent="0.3">
      <c r="A691" t="s">
        <v>826</v>
      </c>
      <c r="B691" t="s">
        <v>53</v>
      </c>
      <c r="C691" s="7">
        <v>45770</v>
      </c>
      <c r="D691" s="7">
        <v>45770</v>
      </c>
      <c r="E691">
        <v>0</v>
      </c>
      <c r="F691">
        <v>133560.60084347855</v>
      </c>
      <c r="G691">
        <v>13503.42</v>
      </c>
      <c r="H691" t="s">
        <v>68</v>
      </c>
      <c r="I691" t="s">
        <v>83</v>
      </c>
      <c r="J691">
        <v>54</v>
      </c>
      <c r="K691" t="s">
        <v>89</v>
      </c>
    </row>
    <row r="692" spans="1:11" x14ac:dyDescent="0.3">
      <c r="A692" t="s">
        <v>827</v>
      </c>
      <c r="B692" t="s">
        <v>45</v>
      </c>
      <c r="C692" s="7">
        <v>45867</v>
      </c>
      <c r="D692" s="7">
        <v>45873</v>
      </c>
      <c r="E692">
        <v>6</v>
      </c>
      <c r="F692">
        <v>49906.906969100186</v>
      </c>
      <c r="G692">
        <v>6690.49</v>
      </c>
      <c r="H692" t="s">
        <v>76</v>
      </c>
      <c r="I692" t="s">
        <v>73</v>
      </c>
      <c r="J692">
        <v>50</v>
      </c>
      <c r="K692" t="s">
        <v>89</v>
      </c>
    </row>
    <row r="693" spans="1:11" x14ac:dyDescent="0.3">
      <c r="A693" t="s">
        <v>828</v>
      </c>
      <c r="B693" t="s">
        <v>39</v>
      </c>
      <c r="C693" s="7">
        <v>45960</v>
      </c>
      <c r="D693" s="7">
        <v>45971</v>
      </c>
      <c r="E693">
        <v>11</v>
      </c>
      <c r="F693">
        <v>493614.40195889072</v>
      </c>
      <c r="G693">
        <v>2610.67</v>
      </c>
      <c r="H693" t="s">
        <v>76</v>
      </c>
      <c r="I693" t="s">
        <v>83</v>
      </c>
      <c r="J693">
        <v>32</v>
      </c>
      <c r="K693" t="s">
        <v>77</v>
      </c>
    </row>
    <row r="694" spans="1:11" x14ac:dyDescent="0.3">
      <c r="A694" t="s">
        <v>829</v>
      </c>
      <c r="B694" t="s">
        <v>49</v>
      </c>
      <c r="C694" s="7">
        <v>45652</v>
      </c>
      <c r="D694" s="7">
        <v>45655</v>
      </c>
      <c r="E694">
        <v>3</v>
      </c>
      <c r="F694">
        <v>938625.85978683038</v>
      </c>
      <c r="G694">
        <v>12036.91</v>
      </c>
      <c r="H694" t="s">
        <v>61</v>
      </c>
      <c r="I694" t="s">
        <v>69</v>
      </c>
      <c r="J694">
        <v>17</v>
      </c>
      <c r="K694" t="s">
        <v>77</v>
      </c>
    </row>
    <row r="695" spans="1:11" x14ac:dyDescent="0.3">
      <c r="A695" t="s">
        <v>830</v>
      </c>
      <c r="B695" t="s">
        <v>45</v>
      </c>
      <c r="C695" s="7">
        <v>45681</v>
      </c>
      <c r="D695" s="7">
        <v>45693</v>
      </c>
      <c r="E695">
        <v>12</v>
      </c>
      <c r="F695">
        <v>401999.73866738606</v>
      </c>
      <c r="G695">
        <v>14431.22</v>
      </c>
      <c r="H695" t="s">
        <v>57</v>
      </c>
      <c r="I695" t="s">
        <v>62</v>
      </c>
      <c r="J695">
        <v>24</v>
      </c>
      <c r="K695" t="s">
        <v>70</v>
      </c>
    </row>
    <row r="696" spans="1:11" x14ac:dyDescent="0.3">
      <c r="A696" t="s">
        <v>831</v>
      </c>
      <c r="B696" t="s">
        <v>44</v>
      </c>
      <c r="C696" s="7">
        <v>45840</v>
      </c>
      <c r="D696" s="7">
        <v>45851</v>
      </c>
      <c r="E696">
        <v>11</v>
      </c>
      <c r="F696">
        <v>83366.606099004071</v>
      </c>
      <c r="G696">
        <v>9725.01</v>
      </c>
      <c r="H696" t="s">
        <v>68</v>
      </c>
      <c r="I696" t="s">
        <v>69</v>
      </c>
      <c r="J696">
        <v>2</v>
      </c>
      <c r="K696" t="s">
        <v>70</v>
      </c>
    </row>
    <row r="697" spans="1:11" x14ac:dyDescent="0.3">
      <c r="A697" t="s">
        <v>832</v>
      </c>
      <c r="B697" t="s">
        <v>38</v>
      </c>
      <c r="C697" s="7">
        <v>45633</v>
      </c>
      <c r="D697" s="7">
        <v>45635</v>
      </c>
      <c r="E697">
        <v>2</v>
      </c>
      <c r="F697">
        <v>539271.52064252796</v>
      </c>
      <c r="G697">
        <v>2093.63</v>
      </c>
      <c r="H697" t="s">
        <v>76</v>
      </c>
      <c r="I697" t="s">
        <v>73</v>
      </c>
      <c r="J697">
        <v>45</v>
      </c>
      <c r="K697" t="s">
        <v>89</v>
      </c>
    </row>
    <row r="698" spans="1:11" x14ac:dyDescent="0.3">
      <c r="A698" t="s">
        <v>833</v>
      </c>
      <c r="B698" t="s">
        <v>38</v>
      </c>
      <c r="C698" s="7">
        <v>45805</v>
      </c>
      <c r="D698" s="7">
        <v>45818</v>
      </c>
      <c r="E698">
        <v>13</v>
      </c>
      <c r="F698">
        <v>705699.22571674187</v>
      </c>
      <c r="G698">
        <v>4537.6499999999996</v>
      </c>
      <c r="H698" t="s">
        <v>91</v>
      </c>
      <c r="I698" t="s">
        <v>69</v>
      </c>
      <c r="J698">
        <v>53</v>
      </c>
      <c r="K698" t="s">
        <v>66</v>
      </c>
    </row>
    <row r="699" spans="1:11" x14ac:dyDescent="0.3">
      <c r="A699" t="s">
        <v>834</v>
      </c>
      <c r="B699" t="s">
        <v>40</v>
      </c>
      <c r="C699" s="7">
        <v>45523</v>
      </c>
      <c r="D699" s="7">
        <v>45534</v>
      </c>
      <c r="E699">
        <v>11</v>
      </c>
      <c r="F699">
        <v>771757.36065042682</v>
      </c>
      <c r="G699">
        <v>10096.280000000001</v>
      </c>
      <c r="H699" t="s">
        <v>61</v>
      </c>
      <c r="I699" t="s">
        <v>83</v>
      </c>
      <c r="J699">
        <v>51</v>
      </c>
      <c r="K699" t="s">
        <v>66</v>
      </c>
    </row>
    <row r="700" spans="1:11" x14ac:dyDescent="0.3">
      <c r="A700" t="s">
        <v>835</v>
      </c>
      <c r="B700" t="s">
        <v>45</v>
      </c>
      <c r="C700" s="7">
        <v>45805</v>
      </c>
      <c r="D700" s="7">
        <v>45815</v>
      </c>
      <c r="E700">
        <v>10</v>
      </c>
      <c r="F700">
        <v>357532.25583170459</v>
      </c>
      <c r="G700">
        <v>12653.09</v>
      </c>
      <c r="H700" t="s">
        <v>91</v>
      </c>
      <c r="I700" t="s">
        <v>62</v>
      </c>
      <c r="J700">
        <v>2</v>
      </c>
      <c r="K700" t="s">
        <v>59</v>
      </c>
    </row>
    <row r="701" spans="1:11" x14ac:dyDescent="0.3">
      <c r="A701" t="s">
        <v>836</v>
      </c>
      <c r="B701" t="s">
        <v>38</v>
      </c>
      <c r="C701" s="7">
        <v>45653</v>
      </c>
      <c r="D701" s="7">
        <v>45667</v>
      </c>
      <c r="E701">
        <v>14</v>
      </c>
      <c r="F701">
        <v>390263.43797409901</v>
      </c>
      <c r="G701">
        <v>8184.23</v>
      </c>
      <c r="H701" t="s">
        <v>79</v>
      </c>
      <c r="I701" t="s">
        <v>58</v>
      </c>
      <c r="J701">
        <v>47</v>
      </c>
      <c r="K701" t="s">
        <v>77</v>
      </c>
    </row>
    <row r="702" spans="1:11" x14ac:dyDescent="0.3">
      <c r="A702" t="s">
        <v>837</v>
      </c>
      <c r="B702" t="s">
        <v>40</v>
      </c>
      <c r="C702" s="7">
        <v>45680</v>
      </c>
      <c r="D702" s="7">
        <v>45694</v>
      </c>
      <c r="E702">
        <v>14</v>
      </c>
      <c r="F702">
        <v>214640.03198867122</v>
      </c>
      <c r="G702">
        <v>6414.27</v>
      </c>
      <c r="H702" t="s">
        <v>57</v>
      </c>
      <c r="I702" t="s">
        <v>83</v>
      </c>
      <c r="J702">
        <v>31</v>
      </c>
      <c r="K702" t="s">
        <v>89</v>
      </c>
    </row>
    <row r="703" spans="1:11" x14ac:dyDescent="0.3">
      <c r="A703" t="s">
        <v>838</v>
      </c>
      <c r="B703" t="s">
        <v>52</v>
      </c>
      <c r="C703" s="7">
        <v>45687</v>
      </c>
      <c r="D703" s="7">
        <v>45700</v>
      </c>
      <c r="E703">
        <v>13</v>
      </c>
      <c r="F703">
        <v>576011.13409108832</v>
      </c>
      <c r="G703">
        <v>9625.4599999999991</v>
      </c>
      <c r="H703" t="s">
        <v>61</v>
      </c>
      <c r="I703" t="s">
        <v>69</v>
      </c>
      <c r="J703">
        <v>31</v>
      </c>
      <c r="K703" t="s">
        <v>70</v>
      </c>
    </row>
    <row r="704" spans="1:11" x14ac:dyDescent="0.3">
      <c r="A704" t="s">
        <v>839</v>
      </c>
      <c r="B704" t="s">
        <v>43</v>
      </c>
      <c r="C704" s="7">
        <v>45988</v>
      </c>
      <c r="D704" s="7">
        <v>45997</v>
      </c>
      <c r="E704">
        <v>9</v>
      </c>
      <c r="F704">
        <v>637884.90118369879</v>
      </c>
      <c r="G704">
        <v>1626.69</v>
      </c>
      <c r="H704" t="s">
        <v>68</v>
      </c>
      <c r="I704" t="s">
        <v>58</v>
      </c>
      <c r="J704">
        <v>13</v>
      </c>
      <c r="K704" t="s">
        <v>66</v>
      </c>
    </row>
    <row r="705" spans="1:11" x14ac:dyDescent="0.3">
      <c r="A705" t="s">
        <v>840</v>
      </c>
      <c r="B705" t="s">
        <v>46</v>
      </c>
      <c r="C705" s="7">
        <v>45523</v>
      </c>
      <c r="D705" s="7">
        <v>45526</v>
      </c>
      <c r="E705">
        <v>3</v>
      </c>
      <c r="F705">
        <v>629128.08888483804</v>
      </c>
      <c r="G705">
        <v>11199.14</v>
      </c>
      <c r="H705" t="s">
        <v>65</v>
      </c>
      <c r="I705" t="s">
        <v>69</v>
      </c>
      <c r="J705">
        <v>19</v>
      </c>
      <c r="K705" t="s">
        <v>77</v>
      </c>
    </row>
    <row r="706" spans="1:11" x14ac:dyDescent="0.3">
      <c r="A706" t="s">
        <v>841</v>
      </c>
      <c r="B706" t="s">
        <v>41</v>
      </c>
      <c r="C706" s="7">
        <v>45580</v>
      </c>
      <c r="D706" s="7">
        <v>45591</v>
      </c>
      <c r="E706">
        <v>11</v>
      </c>
      <c r="F706">
        <v>629279.25457187137</v>
      </c>
      <c r="G706">
        <v>5063.66</v>
      </c>
      <c r="H706" t="s">
        <v>68</v>
      </c>
      <c r="I706" t="s">
        <v>58</v>
      </c>
      <c r="J706">
        <v>34</v>
      </c>
      <c r="K706" t="s">
        <v>77</v>
      </c>
    </row>
    <row r="707" spans="1:11" x14ac:dyDescent="0.3">
      <c r="A707" t="s">
        <v>842</v>
      </c>
      <c r="B707" t="s">
        <v>50</v>
      </c>
      <c r="C707" s="7">
        <v>45794</v>
      </c>
      <c r="D707" s="7">
        <v>45799</v>
      </c>
      <c r="E707">
        <v>5</v>
      </c>
      <c r="F707">
        <v>631019.56542259152</v>
      </c>
      <c r="G707">
        <v>8774.65</v>
      </c>
      <c r="H707" t="s">
        <v>79</v>
      </c>
      <c r="I707" t="s">
        <v>83</v>
      </c>
      <c r="J707">
        <v>48</v>
      </c>
      <c r="K707" t="s">
        <v>89</v>
      </c>
    </row>
    <row r="708" spans="1:11" x14ac:dyDescent="0.3">
      <c r="A708" t="s">
        <v>843</v>
      </c>
      <c r="B708" t="s">
        <v>50</v>
      </c>
      <c r="C708" s="7">
        <v>45402</v>
      </c>
      <c r="D708" s="7">
        <v>45404</v>
      </c>
      <c r="E708">
        <v>2</v>
      </c>
      <c r="F708">
        <v>605788.86898682266</v>
      </c>
      <c r="G708">
        <v>12563.61</v>
      </c>
      <c r="H708" t="s">
        <v>76</v>
      </c>
      <c r="I708" t="s">
        <v>73</v>
      </c>
      <c r="J708">
        <v>26</v>
      </c>
      <c r="K708" t="s">
        <v>70</v>
      </c>
    </row>
    <row r="709" spans="1:11" x14ac:dyDescent="0.3">
      <c r="A709" t="s">
        <v>844</v>
      </c>
      <c r="B709" t="s">
        <v>47</v>
      </c>
      <c r="C709" s="7">
        <v>45872</v>
      </c>
      <c r="D709" s="7">
        <v>45875</v>
      </c>
      <c r="E709">
        <v>3</v>
      </c>
      <c r="F709">
        <v>600169.69741882232</v>
      </c>
      <c r="G709">
        <v>12291.44</v>
      </c>
      <c r="H709" t="s">
        <v>91</v>
      </c>
      <c r="I709" t="s">
        <v>69</v>
      </c>
      <c r="J709">
        <v>29</v>
      </c>
      <c r="K709" t="s">
        <v>66</v>
      </c>
    </row>
    <row r="710" spans="1:11" x14ac:dyDescent="0.3">
      <c r="A710" t="s">
        <v>845</v>
      </c>
      <c r="B710" t="s">
        <v>47</v>
      </c>
      <c r="C710" s="7">
        <v>45880</v>
      </c>
      <c r="D710" s="7">
        <v>45881</v>
      </c>
      <c r="E710">
        <v>1</v>
      </c>
      <c r="F710">
        <v>710552.40645044716</v>
      </c>
      <c r="G710">
        <v>9900.82</v>
      </c>
      <c r="H710" t="s">
        <v>91</v>
      </c>
      <c r="I710" t="s">
        <v>62</v>
      </c>
      <c r="J710">
        <v>22</v>
      </c>
      <c r="K710" t="s">
        <v>66</v>
      </c>
    </row>
    <row r="711" spans="1:11" x14ac:dyDescent="0.3">
      <c r="A711" t="s">
        <v>846</v>
      </c>
      <c r="B711" t="s">
        <v>40</v>
      </c>
      <c r="C711" s="7">
        <v>45916</v>
      </c>
      <c r="D711" s="7">
        <v>45922</v>
      </c>
      <c r="E711">
        <v>6</v>
      </c>
      <c r="F711">
        <v>528559.71681136196</v>
      </c>
      <c r="G711">
        <v>14105.32</v>
      </c>
      <c r="H711" t="s">
        <v>79</v>
      </c>
      <c r="I711" t="s">
        <v>58</v>
      </c>
      <c r="J711">
        <v>12</v>
      </c>
      <c r="K711" t="s">
        <v>89</v>
      </c>
    </row>
    <row r="712" spans="1:11" x14ac:dyDescent="0.3">
      <c r="A712" t="s">
        <v>847</v>
      </c>
      <c r="B712" t="s">
        <v>40</v>
      </c>
      <c r="C712" s="7">
        <v>45621</v>
      </c>
      <c r="D712" s="7">
        <v>45624</v>
      </c>
      <c r="E712">
        <v>3</v>
      </c>
      <c r="F712">
        <v>699586.54264107381</v>
      </c>
      <c r="G712">
        <v>5438.26</v>
      </c>
      <c r="H712" t="s">
        <v>91</v>
      </c>
      <c r="I712" t="s">
        <v>73</v>
      </c>
      <c r="J712">
        <v>37</v>
      </c>
      <c r="K712" t="s">
        <v>77</v>
      </c>
    </row>
    <row r="713" spans="1:11" x14ac:dyDescent="0.3">
      <c r="A713" t="s">
        <v>849</v>
      </c>
      <c r="B713" t="s">
        <v>42</v>
      </c>
      <c r="C713" s="7">
        <v>45607</v>
      </c>
      <c r="D713" s="7">
        <v>45613</v>
      </c>
      <c r="E713">
        <v>6</v>
      </c>
      <c r="F713">
        <v>858678.26584455126</v>
      </c>
      <c r="G713">
        <v>14585.73</v>
      </c>
      <c r="H713" t="s">
        <v>68</v>
      </c>
      <c r="I713" t="s">
        <v>69</v>
      </c>
      <c r="J713">
        <v>21</v>
      </c>
      <c r="K713" t="s">
        <v>66</v>
      </c>
    </row>
    <row r="714" spans="1:11" x14ac:dyDescent="0.3">
      <c r="A714" t="s">
        <v>851</v>
      </c>
      <c r="B714" t="s">
        <v>50</v>
      </c>
      <c r="C714" s="7">
        <v>45625</v>
      </c>
      <c r="D714" s="7">
        <v>45632</v>
      </c>
      <c r="E714">
        <v>7</v>
      </c>
      <c r="F714">
        <v>784124.36523961357</v>
      </c>
      <c r="G714">
        <v>11515.98</v>
      </c>
      <c r="H714" t="s">
        <v>79</v>
      </c>
      <c r="I714" t="s">
        <v>73</v>
      </c>
      <c r="J714">
        <v>26</v>
      </c>
      <c r="K714" t="s">
        <v>66</v>
      </c>
    </row>
    <row r="715" spans="1:11" x14ac:dyDescent="0.3">
      <c r="A715" t="s">
        <v>852</v>
      </c>
      <c r="B715" t="s">
        <v>44</v>
      </c>
      <c r="C715" s="7">
        <v>45826</v>
      </c>
      <c r="D715" s="7">
        <v>45839</v>
      </c>
      <c r="E715">
        <v>13</v>
      </c>
      <c r="F715">
        <v>335904.76503686106</v>
      </c>
      <c r="G715">
        <v>3549.31</v>
      </c>
      <c r="H715" t="s">
        <v>61</v>
      </c>
      <c r="I715" t="s">
        <v>73</v>
      </c>
      <c r="J715">
        <v>58</v>
      </c>
      <c r="K715" t="s">
        <v>89</v>
      </c>
    </row>
    <row r="716" spans="1:11" x14ac:dyDescent="0.3">
      <c r="A716" t="s">
        <v>853</v>
      </c>
      <c r="B716" t="s">
        <v>46</v>
      </c>
      <c r="C716" s="7">
        <v>45990</v>
      </c>
      <c r="D716" s="7">
        <v>45999</v>
      </c>
      <c r="E716">
        <v>9</v>
      </c>
      <c r="F716">
        <v>450516.93755569222</v>
      </c>
      <c r="G716">
        <v>9974.24</v>
      </c>
      <c r="H716" t="s">
        <v>61</v>
      </c>
      <c r="I716" t="s">
        <v>83</v>
      </c>
      <c r="J716">
        <v>35</v>
      </c>
      <c r="K716" t="s">
        <v>77</v>
      </c>
    </row>
    <row r="717" spans="1:11" x14ac:dyDescent="0.3">
      <c r="A717" t="s">
        <v>854</v>
      </c>
      <c r="B717" t="s">
        <v>40</v>
      </c>
      <c r="C717" s="7">
        <v>45696</v>
      </c>
      <c r="D717" s="7">
        <v>45710</v>
      </c>
      <c r="E717">
        <v>14</v>
      </c>
      <c r="F717">
        <v>261550.93666476157</v>
      </c>
      <c r="G717">
        <v>14821.8</v>
      </c>
      <c r="H717" t="s">
        <v>68</v>
      </c>
      <c r="I717" t="s">
        <v>62</v>
      </c>
      <c r="J717">
        <v>8</v>
      </c>
      <c r="K717" t="s">
        <v>89</v>
      </c>
    </row>
    <row r="718" spans="1:11" x14ac:dyDescent="0.3">
      <c r="A718" t="s">
        <v>855</v>
      </c>
      <c r="B718" t="s">
        <v>48</v>
      </c>
      <c r="C718" s="7">
        <v>45975</v>
      </c>
      <c r="D718" s="7">
        <v>45985</v>
      </c>
      <c r="E718">
        <v>10</v>
      </c>
      <c r="F718">
        <v>797280.22606113402</v>
      </c>
      <c r="G718">
        <v>14749.68</v>
      </c>
      <c r="H718" t="s">
        <v>57</v>
      </c>
      <c r="I718" t="s">
        <v>83</v>
      </c>
      <c r="J718">
        <v>7</v>
      </c>
      <c r="K718" t="s">
        <v>89</v>
      </c>
    </row>
    <row r="719" spans="1:11" x14ac:dyDescent="0.3">
      <c r="A719" t="s">
        <v>857</v>
      </c>
      <c r="B719" t="s">
        <v>50</v>
      </c>
      <c r="C719" s="7">
        <v>45988</v>
      </c>
      <c r="D719" s="7">
        <v>45998</v>
      </c>
      <c r="E719">
        <v>10</v>
      </c>
      <c r="F719">
        <v>676695.73860459437</v>
      </c>
      <c r="G719">
        <v>9136.33</v>
      </c>
      <c r="H719" t="s">
        <v>79</v>
      </c>
      <c r="I719" t="s">
        <v>69</v>
      </c>
      <c r="J719">
        <v>46</v>
      </c>
      <c r="K719" t="s">
        <v>59</v>
      </c>
    </row>
    <row r="720" spans="1:11" x14ac:dyDescent="0.3">
      <c r="A720" t="s">
        <v>858</v>
      </c>
      <c r="B720" t="s">
        <v>48</v>
      </c>
      <c r="C720" s="7">
        <v>46003</v>
      </c>
      <c r="D720" s="7">
        <v>46012</v>
      </c>
      <c r="E720">
        <v>9</v>
      </c>
      <c r="F720">
        <v>823027.29940260923</v>
      </c>
      <c r="G720">
        <v>751.69</v>
      </c>
      <c r="H720" t="s">
        <v>68</v>
      </c>
      <c r="I720" t="s">
        <v>69</v>
      </c>
      <c r="J720">
        <v>43</v>
      </c>
      <c r="K720" t="s">
        <v>59</v>
      </c>
    </row>
    <row r="721" spans="1:11" x14ac:dyDescent="0.3">
      <c r="A721" t="s">
        <v>859</v>
      </c>
      <c r="B721" t="s">
        <v>47</v>
      </c>
      <c r="C721" s="7">
        <v>45997</v>
      </c>
      <c r="D721" s="7">
        <v>46002</v>
      </c>
      <c r="E721">
        <v>5</v>
      </c>
      <c r="F721">
        <v>96995.018479990162</v>
      </c>
      <c r="G721">
        <v>13825.91</v>
      </c>
      <c r="H721" t="s">
        <v>79</v>
      </c>
      <c r="I721" t="s">
        <v>83</v>
      </c>
      <c r="J721">
        <v>47</v>
      </c>
      <c r="K721" t="s">
        <v>89</v>
      </c>
    </row>
    <row r="722" spans="1:11" x14ac:dyDescent="0.3">
      <c r="A722" t="s">
        <v>860</v>
      </c>
      <c r="B722" t="s">
        <v>43</v>
      </c>
      <c r="C722" s="7">
        <v>45968</v>
      </c>
      <c r="D722" s="7">
        <v>45971</v>
      </c>
      <c r="E722">
        <v>3</v>
      </c>
      <c r="F722">
        <v>265852.17209581152</v>
      </c>
      <c r="G722">
        <v>11798.91</v>
      </c>
      <c r="H722" t="s">
        <v>61</v>
      </c>
      <c r="I722" t="s">
        <v>69</v>
      </c>
      <c r="J722">
        <v>45</v>
      </c>
      <c r="K722" t="s">
        <v>70</v>
      </c>
    </row>
    <row r="723" spans="1:11" x14ac:dyDescent="0.3">
      <c r="A723" t="s">
        <v>861</v>
      </c>
      <c r="B723" t="s">
        <v>53</v>
      </c>
      <c r="C723" s="7">
        <v>45631</v>
      </c>
      <c r="D723" s="7">
        <v>45633</v>
      </c>
      <c r="E723">
        <v>2</v>
      </c>
      <c r="F723">
        <v>309652.1123387533</v>
      </c>
      <c r="G723">
        <v>1849.91</v>
      </c>
      <c r="H723" t="s">
        <v>91</v>
      </c>
      <c r="I723" t="s">
        <v>62</v>
      </c>
      <c r="J723">
        <v>59</v>
      </c>
      <c r="K723" t="s">
        <v>77</v>
      </c>
    </row>
    <row r="724" spans="1:11" x14ac:dyDescent="0.3">
      <c r="A724" t="s">
        <v>862</v>
      </c>
      <c r="B724" t="s">
        <v>50</v>
      </c>
      <c r="C724" s="7">
        <v>45735</v>
      </c>
      <c r="D724" s="7">
        <v>45741</v>
      </c>
      <c r="E724">
        <v>6</v>
      </c>
      <c r="F724">
        <v>590444.28145304613</v>
      </c>
      <c r="G724">
        <v>1323.84</v>
      </c>
      <c r="H724" t="s">
        <v>57</v>
      </c>
      <c r="I724" t="s">
        <v>83</v>
      </c>
      <c r="J724">
        <v>46</v>
      </c>
      <c r="K724" t="s">
        <v>77</v>
      </c>
    </row>
    <row r="725" spans="1:11" x14ac:dyDescent="0.3">
      <c r="A725" t="s">
        <v>863</v>
      </c>
      <c r="B725" t="s">
        <v>52</v>
      </c>
      <c r="C725" s="7">
        <v>45765</v>
      </c>
      <c r="D725" s="7">
        <v>45773</v>
      </c>
      <c r="E725">
        <v>8</v>
      </c>
      <c r="F725">
        <v>339125.61041058431</v>
      </c>
      <c r="G725">
        <v>2168.88</v>
      </c>
      <c r="H725" t="s">
        <v>68</v>
      </c>
      <c r="I725" t="s">
        <v>83</v>
      </c>
      <c r="J725">
        <v>55</v>
      </c>
      <c r="K725" t="s">
        <v>70</v>
      </c>
    </row>
    <row r="726" spans="1:11" x14ac:dyDescent="0.3">
      <c r="A726" t="s">
        <v>864</v>
      </c>
      <c r="B726" t="s">
        <v>43</v>
      </c>
      <c r="C726" s="7">
        <v>45438</v>
      </c>
      <c r="D726" s="7">
        <v>45441</v>
      </c>
      <c r="E726">
        <v>3</v>
      </c>
      <c r="F726">
        <v>523516.62624394667</v>
      </c>
      <c r="G726">
        <v>10079.32</v>
      </c>
      <c r="H726" t="s">
        <v>61</v>
      </c>
      <c r="I726" t="s">
        <v>83</v>
      </c>
      <c r="J726">
        <v>32</v>
      </c>
      <c r="K726" t="s">
        <v>66</v>
      </c>
    </row>
    <row r="727" spans="1:11" x14ac:dyDescent="0.3">
      <c r="A727" t="s">
        <v>865</v>
      </c>
      <c r="B727" t="s">
        <v>49</v>
      </c>
      <c r="C727" s="7">
        <v>45807</v>
      </c>
      <c r="D727" s="7">
        <v>45819</v>
      </c>
      <c r="E727">
        <v>12</v>
      </c>
      <c r="F727">
        <v>764453.13627696643</v>
      </c>
      <c r="G727">
        <v>6583.46</v>
      </c>
      <c r="H727" t="s">
        <v>61</v>
      </c>
      <c r="I727" t="s">
        <v>73</v>
      </c>
      <c r="J727">
        <v>21</v>
      </c>
      <c r="K727" t="s">
        <v>77</v>
      </c>
    </row>
    <row r="728" spans="1:11" x14ac:dyDescent="0.3">
      <c r="A728" t="s">
        <v>866</v>
      </c>
      <c r="B728" t="s">
        <v>39</v>
      </c>
      <c r="C728" s="7">
        <v>45960</v>
      </c>
      <c r="D728" s="7">
        <v>45973</v>
      </c>
      <c r="E728">
        <v>13</v>
      </c>
      <c r="F728">
        <v>788878.46258181811</v>
      </c>
      <c r="G728">
        <v>10596.04</v>
      </c>
      <c r="H728" t="s">
        <v>79</v>
      </c>
      <c r="I728" t="s">
        <v>58</v>
      </c>
      <c r="J728">
        <v>38</v>
      </c>
      <c r="K728" t="s">
        <v>66</v>
      </c>
    </row>
    <row r="729" spans="1:11" x14ac:dyDescent="0.3">
      <c r="A729" t="s">
        <v>868</v>
      </c>
      <c r="B729" t="s">
        <v>45</v>
      </c>
      <c r="C729" s="7">
        <v>45485</v>
      </c>
      <c r="D729" s="7">
        <v>45492</v>
      </c>
      <c r="E729">
        <v>7</v>
      </c>
      <c r="F729">
        <v>590762.49157575076</v>
      </c>
      <c r="G729">
        <v>7557.57</v>
      </c>
      <c r="H729" t="s">
        <v>68</v>
      </c>
      <c r="I729" t="s">
        <v>83</v>
      </c>
      <c r="J729">
        <v>11</v>
      </c>
      <c r="K729" t="s">
        <v>59</v>
      </c>
    </row>
    <row r="730" spans="1:11" x14ac:dyDescent="0.3">
      <c r="A730" t="s">
        <v>869</v>
      </c>
      <c r="B730" t="s">
        <v>46</v>
      </c>
      <c r="C730" s="7">
        <v>45953</v>
      </c>
      <c r="D730" s="7">
        <v>45960</v>
      </c>
      <c r="E730">
        <v>7</v>
      </c>
      <c r="F730">
        <v>826983.01326329727</v>
      </c>
      <c r="G730">
        <v>2388.63</v>
      </c>
      <c r="H730" t="s">
        <v>65</v>
      </c>
      <c r="I730" t="s">
        <v>62</v>
      </c>
      <c r="J730">
        <v>5</v>
      </c>
      <c r="K730" t="s">
        <v>70</v>
      </c>
    </row>
    <row r="731" spans="1:11" x14ac:dyDescent="0.3">
      <c r="A731" t="s">
        <v>870</v>
      </c>
      <c r="B731" t="s">
        <v>46</v>
      </c>
      <c r="C731" s="7">
        <v>45959</v>
      </c>
      <c r="D731" s="7">
        <v>45964</v>
      </c>
      <c r="E731">
        <v>5</v>
      </c>
      <c r="F731">
        <v>224007.22338517508</v>
      </c>
      <c r="G731">
        <v>12016.56</v>
      </c>
      <c r="H731" t="s">
        <v>91</v>
      </c>
      <c r="I731" t="s">
        <v>69</v>
      </c>
      <c r="J731">
        <v>10</v>
      </c>
      <c r="K731" t="s">
        <v>77</v>
      </c>
    </row>
    <row r="732" spans="1:11" x14ac:dyDescent="0.3">
      <c r="A732" t="s">
        <v>871</v>
      </c>
      <c r="B732" t="s">
        <v>52</v>
      </c>
      <c r="C732" s="7">
        <v>45365</v>
      </c>
      <c r="D732" s="7">
        <v>45376</v>
      </c>
      <c r="E732">
        <v>11</v>
      </c>
      <c r="F732">
        <v>719578.52232620772</v>
      </c>
      <c r="G732">
        <v>8894.23</v>
      </c>
      <c r="H732" t="s">
        <v>79</v>
      </c>
      <c r="I732" t="s">
        <v>83</v>
      </c>
      <c r="J732">
        <v>40</v>
      </c>
      <c r="K732" t="s">
        <v>59</v>
      </c>
    </row>
    <row r="733" spans="1:11" x14ac:dyDescent="0.3">
      <c r="A733" t="s">
        <v>872</v>
      </c>
      <c r="B733" t="s">
        <v>49</v>
      </c>
      <c r="C733" s="7">
        <v>45574</v>
      </c>
      <c r="D733" s="7">
        <v>45577</v>
      </c>
      <c r="E733">
        <v>3</v>
      </c>
      <c r="F733">
        <v>933526.87602420943</v>
      </c>
      <c r="G733">
        <v>11651.27</v>
      </c>
      <c r="H733" t="s">
        <v>76</v>
      </c>
      <c r="I733" t="s">
        <v>73</v>
      </c>
      <c r="J733">
        <v>2</v>
      </c>
      <c r="K733" t="s">
        <v>89</v>
      </c>
    </row>
    <row r="734" spans="1:11" x14ac:dyDescent="0.3">
      <c r="A734" t="s">
        <v>873</v>
      </c>
      <c r="B734" t="s">
        <v>43</v>
      </c>
      <c r="C734" s="7">
        <v>45739</v>
      </c>
      <c r="D734" s="7">
        <v>45748</v>
      </c>
      <c r="E734">
        <v>9</v>
      </c>
      <c r="F734">
        <v>668741.75583686866</v>
      </c>
      <c r="G734">
        <v>10343.23</v>
      </c>
      <c r="H734" t="s">
        <v>79</v>
      </c>
      <c r="I734" t="s">
        <v>69</v>
      </c>
      <c r="J734">
        <v>25</v>
      </c>
      <c r="K734" t="s">
        <v>89</v>
      </c>
    </row>
    <row r="735" spans="1:11" x14ac:dyDescent="0.3">
      <c r="A735" t="s">
        <v>874</v>
      </c>
      <c r="B735" t="s">
        <v>52</v>
      </c>
      <c r="C735" s="7">
        <v>45547</v>
      </c>
      <c r="D735" s="7">
        <v>45551</v>
      </c>
      <c r="E735">
        <v>4</v>
      </c>
      <c r="F735">
        <v>340414.96479998651</v>
      </c>
      <c r="G735">
        <v>10667.49</v>
      </c>
      <c r="H735" t="s">
        <v>61</v>
      </c>
      <c r="I735" t="s">
        <v>69</v>
      </c>
      <c r="J735">
        <v>6</v>
      </c>
      <c r="K735" t="s">
        <v>66</v>
      </c>
    </row>
    <row r="736" spans="1:11" x14ac:dyDescent="0.3">
      <c r="A736" t="s">
        <v>875</v>
      </c>
      <c r="B736" t="s">
        <v>44</v>
      </c>
      <c r="C736" s="7">
        <v>45749</v>
      </c>
      <c r="D736" s="7">
        <v>45759</v>
      </c>
      <c r="E736">
        <v>10</v>
      </c>
      <c r="F736">
        <v>604247.36006904976</v>
      </c>
      <c r="G736">
        <v>5227.8599999999997</v>
      </c>
      <c r="H736" t="s">
        <v>79</v>
      </c>
      <c r="I736" t="s">
        <v>83</v>
      </c>
      <c r="J736">
        <v>34</v>
      </c>
      <c r="K736" t="s">
        <v>70</v>
      </c>
    </row>
    <row r="737" spans="1:11" x14ac:dyDescent="0.3">
      <c r="A737" t="s">
        <v>876</v>
      </c>
      <c r="B737" t="s">
        <v>44</v>
      </c>
      <c r="C737" s="7">
        <v>45994</v>
      </c>
      <c r="D737" s="7">
        <v>46003</v>
      </c>
      <c r="E737">
        <v>9</v>
      </c>
      <c r="F737">
        <v>359101.0761971348</v>
      </c>
      <c r="G737">
        <v>1226.96</v>
      </c>
      <c r="H737" t="s">
        <v>76</v>
      </c>
      <c r="I737" t="s">
        <v>73</v>
      </c>
      <c r="J737">
        <v>41</v>
      </c>
      <c r="K737" t="s">
        <v>77</v>
      </c>
    </row>
    <row r="738" spans="1:11" x14ac:dyDescent="0.3">
      <c r="A738" t="s">
        <v>877</v>
      </c>
      <c r="B738" t="s">
        <v>40</v>
      </c>
      <c r="C738" s="7">
        <v>45895</v>
      </c>
      <c r="D738" s="7">
        <v>45896</v>
      </c>
      <c r="E738">
        <v>1</v>
      </c>
      <c r="F738">
        <v>831274.72144516441</v>
      </c>
      <c r="G738">
        <v>13706.7</v>
      </c>
      <c r="H738" t="s">
        <v>91</v>
      </c>
      <c r="I738" t="s">
        <v>62</v>
      </c>
      <c r="J738">
        <v>37</v>
      </c>
      <c r="K738" t="s">
        <v>66</v>
      </c>
    </row>
    <row r="739" spans="1:11" x14ac:dyDescent="0.3">
      <c r="A739" t="s">
        <v>878</v>
      </c>
      <c r="B739" t="s">
        <v>49</v>
      </c>
      <c r="C739" s="7">
        <v>45520</v>
      </c>
      <c r="D739" s="7">
        <v>45533</v>
      </c>
      <c r="E739">
        <v>13</v>
      </c>
      <c r="F739">
        <v>780852.07272030332</v>
      </c>
      <c r="G739">
        <v>649.05999999999995</v>
      </c>
      <c r="H739" t="s">
        <v>57</v>
      </c>
      <c r="I739" t="s">
        <v>58</v>
      </c>
      <c r="J739">
        <v>57</v>
      </c>
      <c r="K739" t="s">
        <v>59</v>
      </c>
    </row>
    <row r="740" spans="1:11" x14ac:dyDescent="0.3">
      <c r="A740" t="s">
        <v>879</v>
      </c>
      <c r="B740" t="s">
        <v>53</v>
      </c>
      <c r="C740" s="7">
        <v>45773</v>
      </c>
      <c r="D740" s="7">
        <v>45783</v>
      </c>
      <c r="E740">
        <v>10</v>
      </c>
      <c r="F740">
        <v>174490.29848262313</v>
      </c>
      <c r="G740">
        <v>7873.63</v>
      </c>
      <c r="H740" t="s">
        <v>57</v>
      </c>
      <c r="I740" t="s">
        <v>69</v>
      </c>
      <c r="J740">
        <v>13</v>
      </c>
      <c r="K740" t="s">
        <v>77</v>
      </c>
    </row>
    <row r="741" spans="1:11" x14ac:dyDescent="0.3">
      <c r="A741" t="s">
        <v>880</v>
      </c>
      <c r="B741" t="s">
        <v>43</v>
      </c>
      <c r="C741" s="7">
        <v>45861</v>
      </c>
      <c r="D741" s="7">
        <v>45864</v>
      </c>
      <c r="E741">
        <v>3</v>
      </c>
      <c r="F741">
        <v>757169.23670176265</v>
      </c>
      <c r="G741">
        <v>815.54</v>
      </c>
      <c r="H741" t="s">
        <v>57</v>
      </c>
      <c r="I741" t="s">
        <v>69</v>
      </c>
      <c r="J741">
        <v>52</v>
      </c>
      <c r="K741" t="s">
        <v>77</v>
      </c>
    </row>
    <row r="742" spans="1:11" x14ac:dyDescent="0.3">
      <c r="A742" t="s">
        <v>881</v>
      </c>
      <c r="B742" t="s">
        <v>42</v>
      </c>
      <c r="C742" s="7">
        <v>45906</v>
      </c>
      <c r="D742" s="7">
        <v>45918</v>
      </c>
      <c r="E742">
        <v>12</v>
      </c>
      <c r="F742">
        <v>191225.86439708472</v>
      </c>
      <c r="G742">
        <v>14174.86</v>
      </c>
      <c r="H742" t="s">
        <v>68</v>
      </c>
      <c r="I742" t="s">
        <v>69</v>
      </c>
      <c r="J742">
        <v>28</v>
      </c>
      <c r="K742" t="s">
        <v>89</v>
      </c>
    </row>
    <row r="743" spans="1:11" x14ac:dyDescent="0.3">
      <c r="A743" t="s">
        <v>882</v>
      </c>
      <c r="B743" t="s">
        <v>45</v>
      </c>
      <c r="C743" s="7">
        <v>45413</v>
      </c>
      <c r="D743" s="7">
        <v>45418</v>
      </c>
      <c r="E743">
        <v>5</v>
      </c>
      <c r="F743">
        <v>536112.91996346554</v>
      </c>
      <c r="G743">
        <v>9223.02</v>
      </c>
      <c r="H743" t="s">
        <v>61</v>
      </c>
      <c r="I743" t="s">
        <v>69</v>
      </c>
      <c r="J743">
        <v>51</v>
      </c>
      <c r="K743" t="s">
        <v>70</v>
      </c>
    </row>
    <row r="744" spans="1:11" x14ac:dyDescent="0.3">
      <c r="A744" t="s">
        <v>883</v>
      </c>
      <c r="B744" t="s">
        <v>46</v>
      </c>
      <c r="C744" s="7">
        <v>45389</v>
      </c>
      <c r="D744" s="7">
        <v>45393</v>
      </c>
      <c r="E744">
        <v>4</v>
      </c>
      <c r="F744">
        <v>850261.25876654289</v>
      </c>
      <c r="G744">
        <v>11268.2</v>
      </c>
      <c r="H744" t="s">
        <v>91</v>
      </c>
      <c r="I744" t="s">
        <v>58</v>
      </c>
      <c r="J744">
        <v>12</v>
      </c>
      <c r="K744" t="s">
        <v>70</v>
      </c>
    </row>
    <row r="745" spans="1:11" x14ac:dyDescent="0.3">
      <c r="A745" t="s">
        <v>884</v>
      </c>
      <c r="B745" t="s">
        <v>46</v>
      </c>
      <c r="C745" s="7">
        <v>45603</v>
      </c>
      <c r="D745" s="7">
        <v>45609</v>
      </c>
      <c r="E745">
        <v>6</v>
      </c>
      <c r="F745">
        <v>181917.74194551408</v>
      </c>
      <c r="G745">
        <v>14469.97</v>
      </c>
      <c r="H745" t="s">
        <v>57</v>
      </c>
      <c r="I745" t="s">
        <v>69</v>
      </c>
      <c r="J745">
        <v>48</v>
      </c>
      <c r="K745" t="s">
        <v>77</v>
      </c>
    </row>
    <row r="746" spans="1:11" x14ac:dyDescent="0.3">
      <c r="A746" t="s">
        <v>885</v>
      </c>
      <c r="B746" t="s">
        <v>49</v>
      </c>
      <c r="C746" s="7">
        <v>45609</v>
      </c>
      <c r="D746" s="7">
        <v>45618</v>
      </c>
      <c r="E746">
        <v>9</v>
      </c>
      <c r="F746">
        <v>611287.3620651745</v>
      </c>
      <c r="G746">
        <v>430.77</v>
      </c>
      <c r="H746" t="s">
        <v>68</v>
      </c>
      <c r="I746" t="s">
        <v>73</v>
      </c>
      <c r="J746">
        <v>58</v>
      </c>
      <c r="K746" t="s">
        <v>59</v>
      </c>
    </row>
    <row r="747" spans="1:11" x14ac:dyDescent="0.3">
      <c r="A747" t="s">
        <v>886</v>
      </c>
      <c r="B747" t="s">
        <v>38</v>
      </c>
      <c r="C747" s="7">
        <v>45742</v>
      </c>
      <c r="D747" s="7">
        <v>45744</v>
      </c>
      <c r="E747">
        <v>2</v>
      </c>
      <c r="F747">
        <v>940462.07827932376</v>
      </c>
      <c r="G747">
        <v>12433.27</v>
      </c>
      <c r="H747" t="s">
        <v>61</v>
      </c>
      <c r="I747" t="s">
        <v>69</v>
      </c>
      <c r="J747">
        <v>3</v>
      </c>
      <c r="K747" t="s">
        <v>66</v>
      </c>
    </row>
    <row r="748" spans="1:11" x14ac:dyDescent="0.3">
      <c r="A748" t="s">
        <v>887</v>
      </c>
      <c r="B748" t="s">
        <v>49</v>
      </c>
      <c r="C748" s="7">
        <v>45728</v>
      </c>
      <c r="D748" s="7">
        <v>45734</v>
      </c>
      <c r="E748">
        <v>6</v>
      </c>
      <c r="F748">
        <v>267232.98807736824</v>
      </c>
      <c r="G748">
        <v>13535.92</v>
      </c>
      <c r="H748" t="s">
        <v>79</v>
      </c>
      <c r="I748" t="s">
        <v>69</v>
      </c>
      <c r="J748">
        <v>17</v>
      </c>
      <c r="K748" t="s">
        <v>77</v>
      </c>
    </row>
    <row r="749" spans="1:11" x14ac:dyDescent="0.3">
      <c r="A749" t="s">
        <v>888</v>
      </c>
      <c r="B749" t="s">
        <v>48</v>
      </c>
      <c r="C749" s="7">
        <v>45681</v>
      </c>
      <c r="D749" s="7">
        <v>45692</v>
      </c>
      <c r="E749">
        <v>11</v>
      </c>
      <c r="F749">
        <v>731600.00534503255</v>
      </c>
      <c r="G749">
        <v>2107.5500000000002</v>
      </c>
      <c r="H749" t="s">
        <v>65</v>
      </c>
      <c r="I749" t="s">
        <v>73</v>
      </c>
      <c r="J749">
        <v>5</v>
      </c>
      <c r="K749" t="s">
        <v>59</v>
      </c>
    </row>
    <row r="750" spans="1:11" x14ac:dyDescent="0.3">
      <c r="A750" t="s">
        <v>889</v>
      </c>
      <c r="B750" t="s">
        <v>40</v>
      </c>
      <c r="C750" s="7">
        <v>45694</v>
      </c>
      <c r="D750" s="7">
        <v>45702</v>
      </c>
      <c r="E750">
        <v>8</v>
      </c>
      <c r="F750">
        <v>314037.82271255716</v>
      </c>
      <c r="G750">
        <v>14163.85</v>
      </c>
      <c r="H750" t="s">
        <v>61</v>
      </c>
      <c r="I750" t="s">
        <v>69</v>
      </c>
      <c r="J750">
        <v>19</v>
      </c>
      <c r="K750" t="s">
        <v>77</v>
      </c>
    </row>
    <row r="751" spans="1:11" x14ac:dyDescent="0.3">
      <c r="A751" t="s">
        <v>890</v>
      </c>
      <c r="B751" t="s">
        <v>42</v>
      </c>
      <c r="C751" s="7">
        <v>45685</v>
      </c>
      <c r="D751" s="7">
        <v>45697</v>
      </c>
      <c r="E751">
        <v>12</v>
      </c>
      <c r="F751">
        <v>116552.55560238958</v>
      </c>
      <c r="G751">
        <v>12378.59</v>
      </c>
      <c r="H751" t="s">
        <v>76</v>
      </c>
      <c r="I751" t="s">
        <v>83</v>
      </c>
      <c r="J751">
        <v>36</v>
      </c>
      <c r="K751" t="s">
        <v>89</v>
      </c>
    </row>
    <row r="752" spans="1:11" x14ac:dyDescent="0.3">
      <c r="A752" t="s">
        <v>891</v>
      </c>
      <c r="B752" t="s">
        <v>40</v>
      </c>
      <c r="C752" s="7">
        <v>46017</v>
      </c>
      <c r="D752" s="7">
        <v>46024</v>
      </c>
      <c r="E752">
        <v>7</v>
      </c>
      <c r="F752">
        <v>107003.07617152199</v>
      </c>
      <c r="G752">
        <v>3583.95</v>
      </c>
      <c r="H752" t="s">
        <v>79</v>
      </c>
      <c r="I752" t="s">
        <v>69</v>
      </c>
      <c r="J752">
        <v>12</v>
      </c>
      <c r="K752" t="s">
        <v>59</v>
      </c>
    </row>
    <row r="753" spans="1:11" x14ac:dyDescent="0.3">
      <c r="A753" t="s">
        <v>892</v>
      </c>
      <c r="B753" t="s">
        <v>41</v>
      </c>
      <c r="C753" s="7">
        <v>45872</v>
      </c>
      <c r="D753" s="7">
        <v>45879</v>
      </c>
      <c r="E753">
        <v>7</v>
      </c>
      <c r="F753">
        <v>704272.0437891623</v>
      </c>
      <c r="G753">
        <v>6741.95</v>
      </c>
      <c r="H753" t="s">
        <v>79</v>
      </c>
      <c r="I753" t="s">
        <v>83</v>
      </c>
      <c r="J753">
        <v>43</v>
      </c>
      <c r="K753" t="s">
        <v>77</v>
      </c>
    </row>
    <row r="754" spans="1:11" x14ac:dyDescent="0.3">
      <c r="A754" t="s">
        <v>893</v>
      </c>
      <c r="B754" t="s">
        <v>50</v>
      </c>
      <c r="C754" s="7">
        <v>45731</v>
      </c>
      <c r="D754" s="7">
        <v>45731</v>
      </c>
      <c r="E754">
        <v>0</v>
      </c>
      <c r="F754">
        <v>543280.58709863946</v>
      </c>
      <c r="G754">
        <v>14239.12</v>
      </c>
      <c r="H754" t="s">
        <v>61</v>
      </c>
      <c r="I754" t="s">
        <v>62</v>
      </c>
      <c r="J754">
        <v>59</v>
      </c>
      <c r="K754" t="s">
        <v>66</v>
      </c>
    </row>
    <row r="755" spans="1:11" x14ac:dyDescent="0.3">
      <c r="A755" t="s">
        <v>894</v>
      </c>
      <c r="B755" t="s">
        <v>45</v>
      </c>
      <c r="C755" s="7">
        <v>45460</v>
      </c>
      <c r="D755" s="7">
        <v>45466</v>
      </c>
      <c r="E755">
        <v>6</v>
      </c>
      <c r="F755">
        <v>364036.82642375748</v>
      </c>
      <c r="G755">
        <v>14212.96</v>
      </c>
      <c r="H755" t="s">
        <v>91</v>
      </c>
      <c r="I755" t="s">
        <v>83</v>
      </c>
      <c r="J755">
        <v>15</v>
      </c>
      <c r="K755" t="s">
        <v>66</v>
      </c>
    </row>
    <row r="756" spans="1:11" x14ac:dyDescent="0.3">
      <c r="A756" t="s">
        <v>895</v>
      </c>
      <c r="B756" t="s">
        <v>40</v>
      </c>
      <c r="C756" s="7">
        <v>45604</v>
      </c>
      <c r="D756" s="7">
        <v>45605</v>
      </c>
      <c r="E756">
        <v>1</v>
      </c>
      <c r="F756">
        <v>653391.45195358258</v>
      </c>
      <c r="G756">
        <v>6266.88</v>
      </c>
      <c r="H756" t="s">
        <v>91</v>
      </c>
      <c r="I756" t="s">
        <v>83</v>
      </c>
      <c r="J756">
        <v>40</v>
      </c>
      <c r="K756" t="s">
        <v>66</v>
      </c>
    </row>
    <row r="757" spans="1:11" x14ac:dyDescent="0.3">
      <c r="A757" t="s">
        <v>896</v>
      </c>
      <c r="B757" t="s">
        <v>43</v>
      </c>
      <c r="C757" s="7">
        <v>45402</v>
      </c>
      <c r="D757" s="7">
        <v>45412</v>
      </c>
      <c r="E757">
        <v>10</v>
      </c>
      <c r="F757">
        <v>225049.50444577058</v>
      </c>
      <c r="G757">
        <v>5841.96</v>
      </c>
      <c r="H757" t="s">
        <v>91</v>
      </c>
      <c r="I757" t="s">
        <v>83</v>
      </c>
      <c r="J757">
        <v>53</v>
      </c>
      <c r="K757" t="s">
        <v>89</v>
      </c>
    </row>
    <row r="758" spans="1:11" x14ac:dyDescent="0.3">
      <c r="A758" t="s">
        <v>897</v>
      </c>
      <c r="B758" t="s">
        <v>42</v>
      </c>
      <c r="C758" s="7">
        <v>46012</v>
      </c>
      <c r="D758" s="7">
        <v>46019</v>
      </c>
      <c r="E758">
        <v>7</v>
      </c>
      <c r="F758">
        <v>867494.14708834526</v>
      </c>
      <c r="G758">
        <v>3717.5</v>
      </c>
      <c r="H758" t="s">
        <v>68</v>
      </c>
      <c r="I758" t="s">
        <v>58</v>
      </c>
      <c r="J758">
        <v>17</v>
      </c>
      <c r="K758" t="s">
        <v>70</v>
      </c>
    </row>
    <row r="759" spans="1:11" x14ac:dyDescent="0.3">
      <c r="A759" t="s">
        <v>898</v>
      </c>
      <c r="B759" t="s">
        <v>45</v>
      </c>
      <c r="C759" s="7">
        <v>45915</v>
      </c>
      <c r="D759" s="7">
        <v>45929</v>
      </c>
      <c r="E759">
        <v>14</v>
      </c>
      <c r="F759">
        <v>345141.75069453364</v>
      </c>
      <c r="G759">
        <v>2337.23</v>
      </c>
      <c r="H759" t="s">
        <v>65</v>
      </c>
      <c r="I759" t="s">
        <v>73</v>
      </c>
      <c r="J759">
        <v>25</v>
      </c>
      <c r="K759" t="s">
        <v>70</v>
      </c>
    </row>
    <row r="760" spans="1:11" x14ac:dyDescent="0.3">
      <c r="A760" t="s">
        <v>900</v>
      </c>
      <c r="B760" t="s">
        <v>40</v>
      </c>
      <c r="C760" s="7">
        <v>45821</v>
      </c>
      <c r="D760" s="7">
        <v>45827</v>
      </c>
      <c r="E760">
        <v>6</v>
      </c>
      <c r="F760">
        <v>403069.33117563889</v>
      </c>
      <c r="G760">
        <v>6382.34</v>
      </c>
      <c r="H760" t="s">
        <v>65</v>
      </c>
      <c r="I760" t="s">
        <v>69</v>
      </c>
      <c r="J760">
        <v>29</v>
      </c>
      <c r="K760" t="s">
        <v>89</v>
      </c>
    </row>
    <row r="761" spans="1:11" x14ac:dyDescent="0.3">
      <c r="A761" t="s">
        <v>901</v>
      </c>
      <c r="B761" t="s">
        <v>44</v>
      </c>
      <c r="C761" s="7">
        <v>45478</v>
      </c>
      <c r="D761" s="7">
        <v>45486</v>
      </c>
      <c r="E761">
        <v>8</v>
      </c>
      <c r="F761">
        <v>622507.2858527553</v>
      </c>
      <c r="G761">
        <v>4644.74</v>
      </c>
      <c r="H761" t="s">
        <v>79</v>
      </c>
      <c r="I761" t="s">
        <v>58</v>
      </c>
      <c r="J761">
        <v>27</v>
      </c>
      <c r="K761" t="s">
        <v>59</v>
      </c>
    </row>
    <row r="762" spans="1:11" x14ac:dyDescent="0.3">
      <c r="A762" t="s">
        <v>902</v>
      </c>
      <c r="B762" t="s">
        <v>41</v>
      </c>
      <c r="C762" s="7">
        <v>45621</v>
      </c>
      <c r="D762" s="7">
        <v>45631</v>
      </c>
      <c r="E762">
        <v>10</v>
      </c>
      <c r="F762">
        <v>368078.28552709043</v>
      </c>
      <c r="G762">
        <v>7859.01</v>
      </c>
      <c r="H762" t="s">
        <v>76</v>
      </c>
      <c r="I762" t="s">
        <v>69</v>
      </c>
      <c r="J762">
        <v>2</v>
      </c>
      <c r="K762" t="s">
        <v>66</v>
      </c>
    </row>
    <row r="763" spans="1:11" x14ac:dyDescent="0.3">
      <c r="A763" t="s">
        <v>903</v>
      </c>
      <c r="B763" t="s">
        <v>47</v>
      </c>
      <c r="C763" s="7">
        <v>45881</v>
      </c>
      <c r="D763" s="7">
        <v>45892</v>
      </c>
      <c r="E763">
        <v>11</v>
      </c>
      <c r="F763">
        <v>649467.4955901705</v>
      </c>
      <c r="G763">
        <v>11584.75</v>
      </c>
      <c r="H763" t="s">
        <v>65</v>
      </c>
      <c r="I763" t="s">
        <v>69</v>
      </c>
      <c r="J763">
        <v>37</v>
      </c>
      <c r="K763" t="s">
        <v>66</v>
      </c>
    </row>
    <row r="764" spans="1:11" x14ac:dyDescent="0.3">
      <c r="A764" t="s">
        <v>904</v>
      </c>
      <c r="B764" t="s">
        <v>44</v>
      </c>
      <c r="C764" s="7">
        <v>45709</v>
      </c>
      <c r="D764" s="7">
        <v>45722</v>
      </c>
      <c r="E764">
        <v>13</v>
      </c>
      <c r="F764">
        <v>704385.10047946451</v>
      </c>
      <c r="G764">
        <v>11486.78</v>
      </c>
      <c r="H764" t="s">
        <v>68</v>
      </c>
      <c r="I764" t="s">
        <v>62</v>
      </c>
      <c r="J764">
        <v>40</v>
      </c>
      <c r="K764" t="s">
        <v>77</v>
      </c>
    </row>
    <row r="765" spans="1:11" x14ac:dyDescent="0.3">
      <c r="A765" t="s">
        <v>905</v>
      </c>
      <c r="B765" t="s">
        <v>48</v>
      </c>
      <c r="C765" s="7">
        <v>45414</v>
      </c>
      <c r="D765" s="7">
        <v>45415</v>
      </c>
      <c r="E765">
        <v>1</v>
      </c>
      <c r="F765">
        <v>23558.981779164675</v>
      </c>
      <c r="G765">
        <v>13818.54</v>
      </c>
      <c r="H765" t="s">
        <v>79</v>
      </c>
      <c r="I765" t="s">
        <v>83</v>
      </c>
      <c r="J765">
        <v>22</v>
      </c>
      <c r="K765" t="s">
        <v>59</v>
      </c>
    </row>
    <row r="766" spans="1:11" x14ac:dyDescent="0.3">
      <c r="A766" t="s">
        <v>906</v>
      </c>
      <c r="B766" t="s">
        <v>53</v>
      </c>
      <c r="C766" s="7">
        <v>45604</v>
      </c>
      <c r="D766" s="7">
        <v>45607</v>
      </c>
      <c r="E766">
        <v>3</v>
      </c>
      <c r="F766">
        <v>295220.87042663206</v>
      </c>
      <c r="G766">
        <v>1177.1400000000001</v>
      </c>
      <c r="H766" t="s">
        <v>91</v>
      </c>
      <c r="I766" t="s">
        <v>62</v>
      </c>
      <c r="J766">
        <v>38</v>
      </c>
      <c r="K766" t="s">
        <v>89</v>
      </c>
    </row>
    <row r="767" spans="1:11" x14ac:dyDescent="0.3">
      <c r="A767" t="s">
        <v>907</v>
      </c>
      <c r="B767" t="s">
        <v>43</v>
      </c>
      <c r="C767" s="7">
        <v>45928</v>
      </c>
      <c r="D767" s="7">
        <v>45932</v>
      </c>
      <c r="E767">
        <v>4</v>
      </c>
      <c r="F767">
        <v>99554.672760428919</v>
      </c>
      <c r="G767">
        <v>8515.94</v>
      </c>
      <c r="H767" t="s">
        <v>76</v>
      </c>
      <c r="I767" t="s">
        <v>73</v>
      </c>
      <c r="J767">
        <v>27</v>
      </c>
      <c r="K767" t="s">
        <v>59</v>
      </c>
    </row>
    <row r="768" spans="1:11" x14ac:dyDescent="0.3">
      <c r="A768" t="s">
        <v>908</v>
      </c>
      <c r="B768" t="s">
        <v>39</v>
      </c>
      <c r="C768" s="7">
        <v>45686</v>
      </c>
      <c r="D768" s="7">
        <v>45693</v>
      </c>
      <c r="E768">
        <v>7</v>
      </c>
      <c r="F768">
        <v>363406.12252785778</v>
      </c>
      <c r="G768">
        <v>2722.78</v>
      </c>
      <c r="H768" t="s">
        <v>57</v>
      </c>
      <c r="I768" t="s">
        <v>58</v>
      </c>
      <c r="J768">
        <v>45</v>
      </c>
      <c r="K768" t="s">
        <v>70</v>
      </c>
    </row>
    <row r="769" spans="1:11" x14ac:dyDescent="0.3">
      <c r="A769" t="s">
        <v>909</v>
      </c>
      <c r="B769" t="s">
        <v>53</v>
      </c>
      <c r="C769" s="7">
        <v>45627</v>
      </c>
      <c r="D769" s="7">
        <v>45629</v>
      </c>
      <c r="E769">
        <v>2</v>
      </c>
      <c r="F769">
        <v>595723.64780019422</v>
      </c>
      <c r="G769">
        <v>10225.120000000001</v>
      </c>
      <c r="H769" t="s">
        <v>76</v>
      </c>
      <c r="I769" t="s">
        <v>83</v>
      </c>
      <c r="J769">
        <v>60</v>
      </c>
      <c r="K769" t="s">
        <v>66</v>
      </c>
    </row>
    <row r="770" spans="1:11" x14ac:dyDescent="0.3">
      <c r="A770" t="s">
        <v>910</v>
      </c>
      <c r="B770" t="s">
        <v>42</v>
      </c>
      <c r="C770" s="7">
        <v>45737</v>
      </c>
      <c r="D770" s="7">
        <v>45742</v>
      </c>
      <c r="E770">
        <v>5</v>
      </c>
      <c r="F770">
        <v>575576.05637840834</v>
      </c>
      <c r="G770">
        <v>12029.9</v>
      </c>
      <c r="H770" t="s">
        <v>57</v>
      </c>
      <c r="I770" t="s">
        <v>58</v>
      </c>
      <c r="J770">
        <v>58</v>
      </c>
      <c r="K770" t="s">
        <v>77</v>
      </c>
    </row>
    <row r="771" spans="1:11" x14ac:dyDescent="0.3">
      <c r="A771" t="s">
        <v>911</v>
      </c>
      <c r="B771" t="s">
        <v>40</v>
      </c>
      <c r="C771" s="7">
        <v>45729</v>
      </c>
      <c r="D771" s="7">
        <v>45732</v>
      </c>
      <c r="E771">
        <v>3</v>
      </c>
      <c r="F771">
        <v>490695.88795923418</v>
      </c>
      <c r="G771">
        <v>14734.14</v>
      </c>
      <c r="H771" t="s">
        <v>57</v>
      </c>
      <c r="I771" t="s">
        <v>69</v>
      </c>
      <c r="J771">
        <v>21</v>
      </c>
      <c r="K771" t="s">
        <v>66</v>
      </c>
    </row>
    <row r="772" spans="1:11" x14ac:dyDescent="0.3">
      <c r="A772" t="s">
        <v>912</v>
      </c>
      <c r="B772" t="s">
        <v>48</v>
      </c>
      <c r="C772" s="7">
        <v>45718</v>
      </c>
      <c r="D772" s="7">
        <v>45722</v>
      </c>
      <c r="E772">
        <v>4</v>
      </c>
      <c r="F772">
        <v>429457.90596208756</v>
      </c>
      <c r="G772">
        <v>6607.66</v>
      </c>
      <c r="H772" t="s">
        <v>57</v>
      </c>
      <c r="I772" t="s">
        <v>62</v>
      </c>
      <c r="J772">
        <v>48</v>
      </c>
      <c r="K772" t="s">
        <v>89</v>
      </c>
    </row>
    <row r="773" spans="1:11" x14ac:dyDescent="0.3">
      <c r="A773" t="s">
        <v>913</v>
      </c>
      <c r="B773" t="s">
        <v>43</v>
      </c>
      <c r="C773" s="7">
        <v>45670</v>
      </c>
      <c r="D773" s="7">
        <v>45683</v>
      </c>
      <c r="E773">
        <v>13</v>
      </c>
      <c r="F773">
        <v>932071.11234908155</v>
      </c>
      <c r="G773">
        <v>9437.7099999999991</v>
      </c>
      <c r="H773" t="s">
        <v>65</v>
      </c>
      <c r="I773" t="s">
        <v>58</v>
      </c>
      <c r="J773">
        <v>2</v>
      </c>
      <c r="K773" t="s">
        <v>70</v>
      </c>
    </row>
    <row r="774" spans="1:11" x14ac:dyDescent="0.3">
      <c r="A774" t="s">
        <v>914</v>
      </c>
      <c r="B774" t="s">
        <v>41</v>
      </c>
      <c r="C774" s="7">
        <v>45914</v>
      </c>
      <c r="D774" s="7">
        <v>45914</v>
      </c>
      <c r="E774">
        <v>0</v>
      </c>
      <c r="F774">
        <v>663386.17149625835</v>
      </c>
      <c r="G774">
        <v>4200.2</v>
      </c>
      <c r="H774" t="s">
        <v>68</v>
      </c>
      <c r="I774" t="s">
        <v>62</v>
      </c>
      <c r="J774">
        <v>24</v>
      </c>
      <c r="K774" t="s">
        <v>77</v>
      </c>
    </row>
    <row r="775" spans="1:11" x14ac:dyDescent="0.3">
      <c r="A775" t="s">
        <v>915</v>
      </c>
      <c r="B775" t="s">
        <v>44</v>
      </c>
      <c r="C775" s="7">
        <v>45772</v>
      </c>
      <c r="D775" s="7">
        <v>45777</v>
      </c>
      <c r="E775">
        <v>5</v>
      </c>
      <c r="F775">
        <v>686012.75315540214</v>
      </c>
      <c r="G775">
        <v>8375.26</v>
      </c>
      <c r="H775" t="s">
        <v>68</v>
      </c>
      <c r="I775" t="s">
        <v>62</v>
      </c>
      <c r="J775">
        <v>18</v>
      </c>
      <c r="K775" t="s">
        <v>59</v>
      </c>
    </row>
    <row r="776" spans="1:11" x14ac:dyDescent="0.3">
      <c r="A776" t="s">
        <v>917</v>
      </c>
      <c r="B776" t="s">
        <v>41</v>
      </c>
      <c r="C776" s="7">
        <v>45710</v>
      </c>
      <c r="D776" s="7">
        <v>45711</v>
      </c>
      <c r="E776">
        <v>1</v>
      </c>
      <c r="F776">
        <v>149412.03803377866</v>
      </c>
      <c r="G776">
        <v>12061.56</v>
      </c>
      <c r="H776" t="s">
        <v>79</v>
      </c>
      <c r="I776" t="s">
        <v>83</v>
      </c>
      <c r="J776">
        <v>56</v>
      </c>
      <c r="K776" t="s">
        <v>59</v>
      </c>
    </row>
    <row r="777" spans="1:11" x14ac:dyDescent="0.3">
      <c r="A777" t="s">
        <v>918</v>
      </c>
      <c r="B777" t="s">
        <v>49</v>
      </c>
      <c r="C777" s="7">
        <v>45664</v>
      </c>
      <c r="D777" s="7">
        <v>45677</v>
      </c>
      <c r="E777">
        <v>13</v>
      </c>
      <c r="F777">
        <v>866232.10414660035</v>
      </c>
      <c r="G777">
        <v>1241.67</v>
      </c>
      <c r="H777" t="s">
        <v>91</v>
      </c>
      <c r="I777" t="s">
        <v>69</v>
      </c>
      <c r="J777">
        <v>41</v>
      </c>
      <c r="K777" t="s">
        <v>70</v>
      </c>
    </row>
    <row r="778" spans="1:11" x14ac:dyDescent="0.3">
      <c r="A778" t="s">
        <v>919</v>
      </c>
      <c r="B778" t="s">
        <v>44</v>
      </c>
      <c r="C778" s="7">
        <v>45819</v>
      </c>
      <c r="D778" s="7">
        <v>45819</v>
      </c>
      <c r="E778">
        <v>0</v>
      </c>
      <c r="F778">
        <v>683982.81392952579</v>
      </c>
      <c r="G778">
        <v>5926.13</v>
      </c>
      <c r="H778" t="s">
        <v>65</v>
      </c>
      <c r="I778" t="s">
        <v>58</v>
      </c>
      <c r="J778">
        <v>13</v>
      </c>
      <c r="K778" t="s">
        <v>89</v>
      </c>
    </row>
    <row r="779" spans="1:11" x14ac:dyDescent="0.3">
      <c r="A779" t="s">
        <v>920</v>
      </c>
      <c r="B779" t="s">
        <v>39</v>
      </c>
      <c r="C779" s="7">
        <v>45627</v>
      </c>
      <c r="D779" s="7">
        <v>45629</v>
      </c>
      <c r="E779">
        <v>2</v>
      </c>
      <c r="F779">
        <v>837047.59929998009</v>
      </c>
      <c r="G779">
        <v>8716.42</v>
      </c>
      <c r="H779" t="s">
        <v>76</v>
      </c>
      <c r="I779" t="s">
        <v>83</v>
      </c>
      <c r="J779">
        <v>45</v>
      </c>
      <c r="K779" t="s">
        <v>59</v>
      </c>
    </row>
    <row r="780" spans="1:11" x14ac:dyDescent="0.3">
      <c r="A780" t="s">
        <v>921</v>
      </c>
      <c r="B780" t="s">
        <v>40</v>
      </c>
      <c r="C780" s="7">
        <v>45701</v>
      </c>
      <c r="D780" s="7">
        <v>45703</v>
      </c>
      <c r="E780">
        <v>2</v>
      </c>
      <c r="F780">
        <v>377932.63693180674</v>
      </c>
      <c r="G780">
        <v>12573.4</v>
      </c>
      <c r="H780" t="s">
        <v>61</v>
      </c>
      <c r="I780" t="s">
        <v>58</v>
      </c>
      <c r="J780">
        <v>27</v>
      </c>
      <c r="K780" t="s">
        <v>77</v>
      </c>
    </row>
    <row r="781" spans="1:11" x14ac:dyDescent="0.3">
      <c r="A781" t="s">
        <v>922</v>
      </c>
      <c r="B781" t="s">
        <v>41</v>
      </c>
      <c r="C781" s="7">
        <v>45835</v>
      </c>
      <c r="D781" s="7">
        <v>45846</v>
      </c>
      <c r="E781">
        <v>11</v>
      </c>
      <c r="F781">
        <v>231799.24291679353</v>
      </c>
      <c r="G781">
        <v>303.35000000000002</v>
      </c>
      <c r="H781" t="s">
        <v>65</v>
      </c>
      <c r="I781" t="s">
        <v>62</v>
      </c>
      <c r="J781">
        <v>19</v>
      </c>
      <c r="K781" t="s">
        <v>66</v>
      </c>
    </row>
    <row r="782" spans="1:11" x14ac:dyDescent="0.3">
      <c r="A782" t="s">
        <v>923</v>
      </c>
      <c r="B782" t="s">
        <v>38</v>
      </c>
      <c r="C782" s="7">
        <v>45690</v>
      </c>
      <c r="D782" s="7">
        <v>45704</v>
      </c>
      <c r="E782">
        <v>14</v>
      </c>
      <c r="F782">
        <v>699113.99108160811</v>
      </c>
      <c r="G782">
        <v>9373.7099999999991</v>
      </c>
      <c r="H782" t="s">
        <v>79</v>
      </c>
      <c r="I782" t="s">
        <v>69</v>
      </c>
      <c r="J782">
        <v>6</v>
      </c>
      <c r="K782" t="s">
        <v>89</v>
      </c>
    </row>
    <row r="783" spans="1:11" x14ac:dyDescent="0.3">
      <c r="A783" t="s">
        <v>924</v>
      </c>
      <c r="B783" t="s">
        <v>49</v>
      </c>
      <c r="C783" s="7">
        <v>45925</v>
      </c>
      <c r="D783" s="7">
        <v>45934</v>
      </c>
      <c r="E783">
        <v>9</v>
      </c>
      <c r="F783">
        <v>735644.64019809291</v>
      </c>
      <c r="G783">
        <v>13734.25</v>
      </c>
      <c r="H783" t="s">
        <v>65</v>
      </c>
      <c r="I783" t="s">
        <v>58</v>
      </c>
      <c r="J783">
        <v>44</v>
      </c>
      <c r="K783" t="s">
        <v>59</v>
      </c>
    </row>
    <row r="784" spans="1:11" x14ac:dyDescent="0.3">
      <c r="A784" t="s">
        <v>925</v>
      </c>
      <c r="B784" t="s">
        <v>49</v>
      </c>
      <c r="C784" s="7">
        <v>45824</v>
      </c>
      <c r="D784" s="7">
        <v>45835</v>
      </c>
      <c r="E784">
        <v>11</v>
      </c>
      <c r="F784">
        <v>773227.09762435616</v>
      </c>
      <c r="G784">
        <v>5682.56</v>
      </c>
      <c r="H784" t="s">
        <v>61</v>
      </c>
      <c r="I784" t="s">
        <v>69</v>
      </c>
      <c r="J784">
        <v>21</v>
      </c>
      <c r="K784" t="s">
        <v>77</v>
      </c>
    </row>
    <row r="785" spans="1:11" x14ac:dyDescent="0.3">
      <c r="A785" t="s">
        <v>926</v>
      </c>
      <c r="B785" t="s">
        <v>41</v>
      </c>
      <c r="C785" s="7">
        <v>45614</v>
      </c>
      <c r="D785" s="7">
        <v>45625</v>
      </c>
      <c r="E785">
        <v>11</v>
      </c>
      <c r="F785">
        <v>338266.88768424356</v>
      </c>
      <c r="G785">
        <v>7081.18</v>
      </c>
      <c r="H785" t="s">
        <v>68</v>
      </c>
      <c r="I785" t="s">
        <v>62</v>
      </c>
      <c r="J785">
        <v>60</v>
      </c>
      <c r="K785" t="s">
        <v>89</v>
      </c>
    </row>
    <row r="786" spans="1:11" x14ac:dyDescent="0.3">
      <c r="A786" t="s">
        <v>927</v>
      </c>
      <c r="B786" t="s">
        <v>52</v>
      </c>
      <c r="C786" s="7">
        <v>45675</v>
      </c>
      <c r="D786" s="7">
        <v>45677</v>
      </c>
      <c r="E786">
        <v>2</v>
      </c>
      <c r="F786">
        <v>703809.0194788794</v>
      </c>
      <c r="G786">
        <v>5906.35</v>
      </c>
      <c r="H786" t="s">
        <v>57</v>
      </c>
      <c r="I786" t="s">
        <v>73</v>
      </c>
      <c r="J786">
        <v>51</v>
      </c>
      <c r="K786" t="s">
        <v>70</v>
      </c>
    </row>
    <row r="787" spans="1:11" x14ac:dyDescent="0.3">
      <c r="A787" t="s">
        <v>928</v>
      </c>
      <c r="B787" t="s">
        <v>52</v>
      </c>
      <c r="C787" s="7">
        <v>46010</v>
      </c>
      <c r="D787" s="7">
        <v>46015</v>
      </c>
      <c r="E787">
        <v>5</v>
      </c>
      <c r="F787">
        <v>16421.801841375571</v>
      </c>
      <c r="G787">
        <v>11912.35</v>
      </c>
      <c r="H787" t="s">
        <v>65</v>
      </c>
      <c r="I787" t="s">
        <v>73</v>
      </c>
      <c r="J787">
        <v>10</v>
      </c>
      <c r="K787" t="s">
        <v>77</v>
      </c>
    </row>
    <row r="788" spans="1:11" x14ac:dyDescent="0.3">
      <c r="A788" t="s">
        <v>929</v>
      </c>
      <c r="B788" t="s">
        <v>41</v>
      </c>
      <c r="C788" s="7">
        <v>45723</v>
      </c>
      <c r="D788" s="7">
        <v>45730</v>
      </c>
      <c r="E788">
        <v>7</v>
      </c>
      <c r="F788">
        <v>145512.85251824185</v>
      </c>
      <c r="G788">
        <v>5192.2700000000004</v>
      </c>
      <c r="H788" t="s">
        <v>57</v>
      </c>
      <c r="I788" t="s">
        <v>69</v>
      </c>
      <c r="J788">
        <v>26</v>
      </c>
      <c r="K788" t="s">
        <v>66</v>
      </c>
    </row>
    <row r="789" spans="1:11" x14ac:dyDescent="0.3">
      <c r="A789" t="s">
        <v>930</v>
      </c>
      <c r="B789" t="s">
        <v>52</v>
      </c>
      <c r="C789" s="7">
        <v>45777</v>
      </c>
      <c r="D789" s="7">
        <v>45780</v>
      </c>
      <c r="E789">
        <v>3</v>
      </c>
      <c r="F789">
        <v>465164.13044928963</v>
      </c>
      <c r="G789">
        <v>10911.19</v>
      </c>
      <c r="H789" t="s">
        <v>68</v>
      </c>
      <c r="I789" t="s">
        <v>69</v>
      </c>
      <c r="J789">
        <v>55</v>
      </c>
      <c r="K789" t="s">
        <v>66</v>
      </c>
    </row>
    <row r="790" spans="1:11" x14ac:dyDescent="0.3">
      <c r="A790" t="s">
        <v>931</v>
      </c>
      <c r="B790" t="s">
        <v>48</v>
      </c>
      <c r="C790" s="7">
        <v>45411</v>
      </c>
      <c r="D790" s="7">
        <v>45412</v>
      </c>
      <c r="E790">
        <v>1</v>
      </c>
      <c r="F790">
        <v>908049.10625963402</v>
      </c>
      <c r="G790">
        <v>10649.16</v>
      </c>
      <c r="H790" t="s">
        <v>91</v>
      </c>
      <c r="I790" t="s">
        <v>62</v>
      </c>
      <c r="J790">
        <v>10</v>
      </c>
      <c r="K790" t="s">
        <v>66</v>
      </c>
    </row>
    <row r="791" spans="1:11" x14ac:dyDescent="0.3">
      <c r="A791" t="s">
        <v>932</v>
      </c>
      <c r="B791" t="s">
        <v>50</v>
      </c>
      <c r="C791" s="7">
        <v>45898</v>
      </c>
      <c r="D791" s="7">
        <v>45898</v>
      </c>
      <c r="E791">
        <v>0</v>
      </c>
      <c r="F791">
        <v>911758.38194146089</v>
      </c>
      <c r="G791">
        <v>9546.33</v>
      </c>
      <c r="H791" t="s">
        <v>61</v>
      </c>
      <c r="I791" t="s">
        <v>62</v>
      </c>
      <c r="J791">
        <v>44</v>
      </c>
      <c r="K791" t="s">
        <v>77</v>
      </c>
    </row>
    <row r="792" spans="1:11" x14ac:dyDescent="0.3">
      <c r="A792" t="s">
        <v>933</v>
      </c>
      <c r="B792" t="s">
        <v>47</v>
      </c>
      <c r="C792" s="7">
        <v>45474</v>
      </c>
      <c r="D792" s="7">
        <v>45482</v>
      </c>
      <c r="E792">
        <v>8</v>
      </c>
      <c r="F792">
        <v>270850.80216704047</v>
      </c>
      <c r="G792">
        <v>10926.4</v>
      </c>
      <c r="H792" t="s">
        <v>79</v>
      </c>
      <c r="I792" t="s">
        <v>73</v>
      </c>
      <c r="J792">
        <v>24</v>
      </c>
      <c r="K792" t="s">
        <v>77</v>
      </c>
    </row>
    <row r="793" spans="1:11" x14ac:dyDescent="0.3">
      <c r="A793" t="s">
        <v>934</v>
      </c>
      <c r="B793" t="s">
        <v>39</v>
      </c>
      <c r="C793" s="7">
        <v>45684</v>
      </c>
      <c r="D793" s="7">
        <v>45690</v>
      </c>
      <c r="E793">
        <v>6</v>
      </c>
      <c r="F793">
        <v>236869.00978192058</v>
      </c>
      <c r="G793">
        <v>14179.74</v>
      </c>
      <c r="H793" t="s">
        <v>65</v>
      </c>
      <c r="I793" t="s">
        <v>73</v>
      </c>
      <c r="J793">
        <v>59</v>
      </c>
      <c r="K793" t="s">
        <v>70</v>
      </c>
    </row>
    <row r="794" spans="1:11" x14ac:dyDescent="0.3">
      <c r="A794" t="s">
        <v>935</v>
      </c>
      <c r="B794" t="s">
        <v>50</v>
      </c>
      <c r="C794" s="7">
        <v>45778</v>
      </c>
      <c r="D794" s="7">
        <v>45787</v>
      </c>
      <c r="E794">
        <v>9</v>
      </c>
      <c r="F794">
        <v>756945.02877099463</v>
      </c>
      <c r="G794">
        <v>10535.28</v>
      </c>
      <c r="H794" t="s">
        <v>76</v>
      </c>
      <c r="I794" t="s">
        <v>62</v>
      </c>
      <c r="J794">
        <v>51</v>
      </c>
      <c r="K794" t="s">
        <v>77</v>
      </c>
    </row>
    <row r="795" spans="1:11" x14ac:dyDescent="0.3">
      <c r="A795" t="s">
        <v>936</v>
      </c>
      <c r="B795" t="s">
        <v>49</v>
      </c>
      <c r="C795" s="7">
        <v>45827</v>
      </c>
      <c r="D795" s="7">
        <v>45840</v>
      </c>
      <c r="E795">
        <v>13</v>
      </c>
      <c r="F795">
        <v>781480.236016421</v>
      </c>
      <c r="G795">
        <v>7431.1</v>
      </c>
      <c r="H795" t="s">
        <v>68</v>
      </c>
      <c r="I795" t="s">
        <v>83</v>
      </c>
      <c r="J795">
        <v>21</v>
      </c>
      <c r="K795" t="s">
        <v>77</v>
      </c>
    </row>
    <row r="796" spans="1:11" x14ac:dyDescent="0.3">
      <c r="A796" t="s">
        <v>937</v>
      </c>
      <c r="B796" t="s">
        <v>44</v>
      </c>
      <c r="C796" s="7">
        <v>45700</v>
      </c>
      <c r="D796" s="7">
        <v>45701</v>
      </c>
      <c r="E796">
        <v>1</v>
      </c>
      <c r="F796">
        <v>505710.83267128671</v>
      </c>
      <c r="G796">
        <v>7047.8</v>
      </c>
      <c r="H796" t="s">
        <v>65</v>
      </c>
      <c r="I796" t="s">
        <v>62</v>
      </c>
      <c r="J796">
        <v>5</v>
      </c>
      <c r="K796" t="s">
        <v>89</v>
      </c>
    </row>
    <row r="797" spans="1:11" x14ac:dyDescent="0.3">
      <c r="A797" t="s">
        <v>938</v>
      </c>
      <c r="B797" t="s">
        <v>50</v>
      </c>
      <c r="C797" s="7">
        <v>45690</v>
      </c>
      <c r="D797" s="7">
        <v>45701</v>
      </c>
      <c r="E797">
        <v>11</v>
      </c>
      <c r="F797">
        <v>139040.67457341039</v>
      </c>
      <c r="G797">
        <v>12747.04</v>
      </c>
      <c r="H797" t="s">
        <v>57</v>
      </c>
      <c r="I797" t="s">
        <v>69</v>
      </c>
      <c r="J797">
        <v>16</v>
      </c>
      <c r="K797" t="s">
        <v>66</v>
      </c>
    </row>
    <row r="798" spans="1:11" x14ac:dyDescent="0.3">
      <c r="A798" t="s">
        <v>940</v>
      </c>
      <c r="B798" t="s">
        <v>47</v>
      </c>
      <c r="C798" s="7">
        <v>45850</v>
      </c>
      <c r="D798" s="7">
        <v>45851</v>
      </c>
      <c r="E798">
        <v>1</v>
      </c>
      <c r="F798">
        <v>892811.22391670465</v>
      </c>
      <c r="G798">
        <v>6947.96</v>
      </c>
      <c r="H798" t="s">
        <v>76</v>
      </c>
      <c r="I798" t="s">
        <v>58</v>
      </c>
      <c r="J798">
        <v>30</v>
      </c>
      <c r="K798" t="s">
        <v>70</v>
      </c>
    </row>
    <row r="799" spans="1:11" x14ac:dyDescent="0.3">
      <c r="A799" t="s">
        <v>941</v>
      </c>
      <c r="B799" t="s">
        <v>47</v>
      </c>
      <c r="C799" s="7">
        <v>45379</v>
      </c>
      <c r="D799" s="7">
        <v>45380</v>
      </c>
      <c r="E799">
        <v>1</v>
      </c>
      <c r="F799">
        <v>52954.356407696978</v>
      </c>
      <c r="G799">
        <v>5032.76</v>
      </c>
      <c r="H799" t="s">
        <v>68</v>
      </c>
      <c r="I799" t="s">
        <v>62</v>
      </c>
      <c r="J799">
        <v>10</v>
      </c>
      <c r="K799" t="s">
        <v>70</v>
      </c>
    </row>
    <row r="800" spans="1:11" x14ac:dyDescent="0.3">
      <c r="A800" t="s">
        <v>942</v>
      </c>
      <c r="B800" t="s">
        <v>46</v>
      </c>
      <c r="C800" s="7">
        <v>45756</v>
      </c>
      <c r="D800" s="7">
        <v>45766</v>
      </c>
      <c r="E800">
        <v>10</v>
      </c>
      <c r="F800">
        <v>310719.7993971695</v>
      </c>
      <c r="G800">
        <v>2834.38</v>
      </c>
      <c r="H800" t="s">
        <v>91</v>
      </c>
      <c r="I800" t="s">
        <v>83</v>
      </c>
      <c r="J800">
        <v>42</v>
      </c>
      <c r="K800" t="s">
        <v>70</v>
      </c>
    </row>
    <row r="801" spans="1:11" x14ac:dyDescent="0.3">
      <c r="A801" t="s">
        <v>943</v>
      </c>
      <c r="B801" t="s">
        <v>40</v>
      </c>
      <c r="C801" s="7">
        <v>45506</v>
      </c>
      <c r="D801" s="7">
        <v>45517</v>
      </c>
      <c r="E801">
        <v>11</v>
      </c>
      <c r="F801">
        <v>226332.50733571753</v>
      </c>
      <c r="G801">
        <v>11368.96</v>
      </c>
      <c r="H801" t="s">
        <v>61</v>
      </c>
      <c r="I801" t="s">
        <v>62</v>
      </c>
      <c r="J801">
        <v>6</v>
      </c>
      <c r="K801" t="s">
        <v>89</v>
      </c>
    </row>
    <row r="802" spans="1:11" x14ac:dyDescent="0.3">
      <c r="A802" t="s">
        <v>944</v>
      </c>
      <c r="B802" t="s">
        <v>50</v>
      </c>
      <c r="C802" s="7">
        <v>45748</v>
      </c>
      <c r="D802" s="7">
        <v>45756</v>
      </c>
      <c r="E802">
        <v>8</v>
      </c>
      <c r="F802">
        <v>62190.706915424053</v>
      </c>
      <c r="G802">
        <v>6362.02</v>
      </c>
      <c r="H802" t="s">
        <v>79</v>
      </c>
      <c r="I802" t="s">
        <v>69</v>
      </c>
      <c r="J802">
        <v>45</v>
      </c>
      <c r="K802" t="s">
        <v>66</v>
      </c>
    </row>
    <row r="803" spans="1:11" x14ac:dyDescent="0.3">
      <c r="A803" t="s">
        <v>945</v>
      </c>
      <c r="B803" t="s">
        <v>52</v>
      </c>
      <c r="C803" s="7">
        <v>45559</v>
      </c>
      <c r="D803" s="7">
        <v>45560</v>
      </c>
      <c r="E803">
        <v>1</v>
      </c>
      <c r="F803">
        <v>727457.5574003621</v>
      </c>
      <c r="G803">
        <v>13056.24</v>
      </c>
      <c r="H803" t="s">
        <v>76</v>
      </c>
      <c r="I803" t="s">
        <v>73</v>
      </c>
      <c r="J803">
        <v>4</v>
      </c>
      <c r="K803" t="s">
        <v>77</v>
      </c>
    </row>
    <row r="804" spans="1:11" x14ac:dyDescent="0.3">
      <c r="A804" t="s">
        <v>946</v>
      </c>
      <c r="B804" t="s">
        <v>38</v>
      </c>
      <c r="C804" s="7">
        <v>45437</v>
      </c>
      <c r="D804" s="7">
        <v>45440</v>
      </c>
      <c r="E804">
        <v>3</v>
      </c>
      <c r="F804">
        <v>221102.68268431991</v>
      </c>
      <c r="G804">
        <v>7473.68</v>
      </c>
      <c r="H804" t="s">
        <v>61</v>
      </c>
      <c r="I804" t="s">
        <v>83</v>
      </c>
      <c r="J804">
        <v>38</v>
      </c>
      <c r="K804" t="s">
        <v>70</v>
      </c>
    </row>
    <row r="805" spans="1:11" x14ac:dyDescent="0.3">
      <c r="A805" t="s">
        <v>947</v>
      </c>
      <c r="B805" t="s">
        <v>44</v>
      </c>
      <c r="C805" s="7">
        <v>45936</v>
      </c>
      <c r="D805" s="7">
        <v>45936</v>
      </c>
      <c r="E805">
        <v>0</v>
      </c>
      <c r="F805">
        <v>872203.7839343634</v>
      </c>
      <c r="G805">
        <v>11214.96</v>
      </c>
      <c r="H805" t="s">
        <v>61</v>
      </c>
      <c r="I805" t="s">
        <v>62</v>
      </c>
      <c r="J805">
        <v>36</v>
      </c>
      <c r="K805" t="s">
        <v>70</v>
      </c>
    </row>
    <row r="806" spans="1:11" x14ac:dyDescent="0.3">
      <c r="A806" t="s">
        <v>950</v>
      </c>
      <c r="B806" t="s">
        <v>49</v>
      </c>
      <c r="C806" s="7">
        <v>45972</v>
      </c>
      <c r="D806" s="7">
        <v>45983</v>
      </c>
      <c r="E806">
        <v>11</v>
      </c>
      <c r="F806">
        <v>712748.11981210392</v>
      </c>
      <c r="G806">
        <v>12527.36</v>
      </c>
      <c r="H806" t="s">
        <v>65</v>
      </c>
      <c r="I806" t="s">
        <v>73</v>
      </c>
      <c r="J806">
        <v>57</v>
      </c>
      <c r="K806" t="s">
        <v>77</v>
      </c>
    </row>
    <row r="807" spans="1:11" x14ac:dyDescent="0.3">
      <c r="A807" t="s">
        <v>951</v>
      </c>
      <c r="B807" t="s">
        <v>42</v>
      </c>
      <c r="C807" s="7">
        <v>45483</v>
      </c>
      <c r="D807" s="7">
        <v>45496</v>
      </c>
      <c r="E807">
        <v>13</v>
      </c>
      <c r="F807">
        <v>320260.38672879984</v>
      </c>
      <c r="G807">
        <v>7593.97</v>
      </c>
      <c r="H807" t="s">
        <v>65</v>
      </c>
      <c r="I807" t="s">
        <v>69</v>
      </c>
      <c r="J807">
        <v>47</v>
      </c>
      <c r="K807" t="s">
        <v>70</v>
      </c>
    </row>
    <row r="808" spans="1:11" x14ac:dyDescent="0.3">
      <c r="A808" t="s">
        <v>952</v>
      </c>
      <c r="B808" t="s">
        <v>44</v>
      </c>
      <c r="C808" s="7">
        <v>45759</v>
      </c>
      <c r="D808" s="7">
        <v>45773</v>
      </c>
      <c r="E808">
        <v>14</v>
      </c>
      <c r="F808">
        <v>470052.24442999845</v>
      </c>
      <c r="G808">
        <v>8500.2800000000007</v>
      </c>
      <c r="H808" t="s">
        <v>61</v>
      </c>
      <c r="I808" t="s">
        <v>73</v>
      </c>
      <c r="J808">
        <v>5</v>
      </c>
      <c r="K808" t="s">
        <v>77</v>
      </c>
    </row>
    <row r="809" spans="1:11" x14ac:dyDescent="0.3">
      <c r="A809" t="s">
        <v>953</v>
      </c>
      <c r="B809" t="s">
        <v>53</v>
      </c>
      <c r="C809" s="7">
        <v>45350</v>
      </c>
      <c r="D809" s="7">
        <v>45359</v>
      </c>
      <c r="E809">
        <v>9</v>
      </c>
      <c r="F809">
        <v>50679.884452795952</v>
      </c>
      <c r="G809">
        <v>365.94</v>
      </c>
      <c r="H809" t="s">
        <v>61</v>
      </c>
      <c r="I809" t="s">
        <v>83</v>
      </c>
      <c r="J809">
        <v>20</v>
      </c>
      <c r="K809" t="s">
        <v>89</v>
      </c>
    </row>
    <row r="810" spans="1:11" x14ac:dyDescent="0.3">
      <c r="A810" t="s">
        <v>954</v>
      </c>
      <c r="B810" t="s">
        <v>49</v>
      </c>
      <c r="C810" s="7">
        <v>45670</v>
      </c>
      <c r="D810" s="7">
        <v>45670</v>
      </c>
      <c r="E810">
        <v>0</v>
      </c>
      <c r="F810">
        <v>352656.84484990616</v>
      </c>
      <c r="G810">
        <v>9757.43</v>
      </c>
      <c r="H810" t="s">
        <v>68</v>
      </c>
      <c r="I810" t="s">
        <v>62</v>
      </c>
      <c r="J810">
        <v>5</v>
      </c>
      <c r="K810" t="s">
        <v>70</v>
      </c>
    </row>
    <row r="811" spans="1:11" x14ac:dyDescent="0.3">
      <c r="A811" t="s">
        <v>955</v>
      </c>
      <c r="B811" t="s">
        <v>48</v>
      </c>
      <c r="C811" s="7">
        <v>45336</v>
      </c>
      <c r="D811" s="7">
        <v>45350</v>
      </c>
      <c r="E811">
        <v>14</v>
      </c>
      <c r="F811">
        <v>117194.05704736307</v>
      </c>
      <c r="G811">
        <v>2299.1999999999998</v>
      </c>
      <c r="H811" t="s">
        <v>68</v>
      </c>
      <c r="I811" t="s">
        <v>73</v>
      </c>
      <c r="J811">
        <v>8</v>
      </c>
      <c r="K811" t="s">
        <v>59</v>
      </c>
    </row>
    <row r="812" spans="1:11" x14ac:dyDescent="0.3">
      <c r="A812" t="s">
        <v>956</v>
      </c>
      <c r="B812" t="s">
        <v>40</v>
      </c>
      <c r="C812" s="7">
        <v>45383</v>
      </c>
      <c r="D812" s="7">
        <v>45394</v>
      </c>
      <c r="E812">
        <v>11</v>
      </c>
      <c r="F812">
        <v>226132.4351028793</v>
      </c>
      <c r="G812">
        <v>13072.92</v>
      </c>
      <c r="H812" t="s">
        <v>91</v>
      </c>
      <c r="I812" t="s">
        <v>58</v>
      </c>
      <c r="J812">
        <v>18</v>
      </c>
      <c r="K812" t="s">
        <v>70</v>
      </c>
    </row>
    <row r="813" spans="1:11" x14ac:dyDescent="0.3">
      <c r="A813" t="s">
        <v>957</v>
      </c>
      <c r="B813" t="s">
        <v>49</v>
      </c>
      <c r="C813" s="7">
        <v>45645</v>
      </c>
      <c r="D813" s="7">
        <v>45656</v>
      </c>
      <c r="E813">
        <v>11</v>
      </c>
      <c r="F813">
        <v>660075.13483027159</v>
      </c>
      <c r="G813">
        <v>3389.04</v>
      </c>
      <c r="H813" t="s">
        <v>68</v>
      </c>
      <c r="I813" t="s">
        <v>69</v>
      </c>
      <c r="J813">
        <v>2</v>
      </c>
      <c r="K813" t="s">
        <v>59</v>
      </c>
    </row>
    <row r="814" spans="1:11" x14ac:dyDescent="0.3">
      <c r="A814" t="s">
        <v>958</v>
      </c>
      <c r="B814" t="s">
        <v>44</v>
      </c>
      <c r="C814" s="7">
        <v>45697</v>
      </c>
      <c r="D814" s="7">
        <v>45697</v>
      </c>
      <c r="E814">
        <v>0</v>
      </c>
      <c r="F814">
        <v>550838.23630036169</v>
      </c>
      <c r="G814">
        <v>851.7</v>
      </c>
      <c r="H814" t="s">
        <v>57</v>
      </c>
      <c r="I814" t="s">
        <v>62</v>
      </c>
      <c r="J814">
        <v>46</v>
      </c>
      <c r="K814" t="s">
        <v>70</v>
      </c>
    </row>
    <row r="815" spans="1:11" x14ac:dyDescent="0.3">
      <c r="A815" t="s">
        <v>959</v>
      </c>
      <c r="B815" t="s">
        <v>47</v>
      </c>
      <c r="C815" s="7">
        <v>45941</v>
      </c>
      <c r="D815" s="7">
        <v>45949</v>
      </c>
      <c r="E815">
        <v>8</v>
      </c>
      <c r="F815">
        <v>158802.09482832116</v>
      </c>
      <c r="G815">
        <v>9947.2999999999993</v>
      </c>
      <c r="H815" t="s">
        <v>61</v>
      </c>
      <c r="I815" t="s">
        <v>58</v>
      </c>
      <c r="J815">
        <v>35</v>
      </c>
      <c r="K815" t="s">
        <v>66</v>
      </c>
    </row>
    <row r="816" spans="1:11" x14ac:dyDescent="0.3">
      <c r="A816" t="s">
        <v>960</v>
      </c>
      <c r="B816" t="s">
        <v>53</v>
      </c>
      <c r="C816" s="7">
        <v>45820</v>
      </c>
      <c r="D816" s="7">
        <v>45834</v>
      </c>
      <c r="E816">
        <v>14</v>
      </c>
      <c r="F816">
        <v>819514.28505394759</v>
      </c>
      <c r="G816">
        <v>9450.93</v>
      </c>
      <c r="H816" t="s">
        <v>91</v>
      </c>
      <c r="I816" t="s">
        <v>62</v>
      </c>
      <c r="J816">
        <v>35</v>
      </c>
      <c r="K816" t="s">
        <v>66</v>
      </c>
    </row>
    <row r="817" spans="1:11" x14ac:dyDescent="0.3">
      <c r="A817" t="s">
        <v>961</v>
      </c>
      <c r="B817" t="s">
        <v>47</v>
      </c>
      <c r="C817" s="7">
        <v>45863</v>
      </c>
      <c r="D817" s="7">
        <v>45873</v>
      </c>
      <c r="E817">
        <v>10</v>
      </c>
      <c r="F817">
        <v>897926.08642796334</v>
      </c>
      <c r="G817">
        <v>11147.73</v>
      </c>
      <c r="H817" t="s">
        <v>65</v>
      </c>
      <c r="I817" t="s">
        <v>62</v>
      </c>
      <c r="J817">
        <v>32</v>
      </c>
      <c r="K817" t="s">
        <v>59</v>
      </c>
    </row>
    <row r="818" spans="1:11" x14ac:dyDescent="0.3">
      <c r="A818" t="s">
        <v>962</v>
      </c>
      <c r="B818" t="s">
        <v>49</v>
      </c>
      <c r="C818" s="7">
        <v>45865</v>
      </c>
      <c r="D818" s="7">
        <v>45873</v>
      </c>
      <c r="E818">
        <v>8</v>
      </c>
      <c r="F818">
        <v>626926.65917367162</v>
      </c>
      <c r="G818">
        <v>6013.44</v>
      </c>
      <c r="H818" t="s">
        <v>91</v>
      </c>
      <c r="I818" t="s">
        <v>62</v>
      </c>
      <c r="J818">
        <v>48</v>
      </c>
      <c r="K818" t="s">
        <v>89</v>
      </c>
    </row>
    <row r="819" spans="1:11" x14ac:dyDescent="0.3">
      <c r="A819" t="s">
        <v>964</v>
      </c>
      <c r="B819" t="s">
        <v>38</v>
      </c>
      <c r="C819" s="7">
        <v>45594</v>
      </c>
      <c r="D819" s="7">
        <v>45595</v>
      </c>
      <c r="E819">
        <v>1</v>
      </c>
      <c r="F819">
        <v>199815.63226027417</v>
      </c>
      <c r="G819">
        <v>12449.32</v>
      </c>
      <c r="H819" t="s">
        <v>65</v>
      </c>
      <c r="I819" t="s">
        <v>83</v>
      </c>
      <c r="J819">
        <v>5</v>
      </c>
      <c r="K819" t="s">
        <v>70</v>
      </c>
    </row>
    <row r="820" spans="1:11" x14ac:dyDescent="0.3">
      <c r="A820" t="s">
        <v>965</v>
      </c>
      <c r="B820" t="s">
        <v>38</v>
      </c>
      <c r="C820" s="7">
        <v>45919</v>
      </c>
      <c r="D820" s="7">
        <v>45932</v>
      </c>
      <c r="E820">
        <v>13</v>
      </c>
      <c r="F820">
        <v>760755.92844410439</v>
      </c>
      <c r="G820">
        <v>11343.19</v>
      </c>
      <c r="H820" t="s">
        <v>79</v>
      </c>
      <c r="I820" t="s">
        <v>83</v>
      </c>
      <c r="J820">
        <v>28</v>
      </c>
      <c r="K820" t="s">
        <v>77</v>
      </c>
    </row>
    <row r="821" spans="1:11" x14ac:dyDescent="0.3">
      <c r="A821" t="s">
        <v>966</v>
      </c>
      <c r="B821" t="s">
        <v>48</v>
      </c>
      <c r="C821" s="7">
        <v>45894</v>
      </c>
      <c r="D821" s="7">
        <v>45894</v>
      </c>
      <c r="E821">
        <v>0</v>
      </c>
      <c r="F821">
        <v>917371.83715995157</v>
      </c>
      <c r="G821">
        <v>11433.93</v>
      </c>
      <c r="H821" t="s">
        <v>57</v>
      </c>
      <c r="I821" t="s">
        <v>69</v>
      </c>
      <c r="J821">
        <v>17</v>
      </c>
      <c r="K821" t="s">
        <v>77</v>
      </c>
    </row>
    <row r="822" spans="1:11" x14ac:dyDescent="0.3">
      <c r="A822" t="s">
        <v>968</v>
      </c>
      <c r="B822" t="s">
        <v>53</v>
      </c>
      <c r="C822" s="7">
        <v>45620</v>
      </c>
      <c r="D822" s="7">
        <v>45628</v>
      </c>
      <c r="E822">
        <v>8</v>
      </c>
      <c r="F822">
        <v>175265.81656610096</v>
      </c>
      <c r="G822">
        <v>4266.17</v>
      </c>
      <c r="H822" t="s">
        <v>91</v>
      </c>
      <c r="I822" t="s">
        <v>69</v>
      </c>
      <c r="J822">
        <v>52</v>
      </c>
      <c r="K822" t="s">
        <v>77</v>
      </c>
    </row>
    <row r="823" spans="1:11" x14ac:dyDescent="0.3">
      <c r="A823" t="s">
        <v>969</v>
      </c>
      <c r="B823" t="s">
        <v>44</v>
      </c>
      <c r="C823" s="7">
        <v>45502</v>
      </c>
      <c r="D823" s="7">
        <v>45515</v>
      </c>
      <c r="E823">
        <v>13</v>
      </c>
      <c r="F823">
        <v>76120.815520531338</v>
      </c>
      <c r="G823">
        <v>7335.76</v>
      </c>
      <c r="H823" t="s">
        <v>76</v>
      </c>
      <c r="I823" t="s">
        <v>83</v>
      </c>
      <c r="J823">
        <v>25</v>
      </c>
      <c r="K823" t="s">
        <v>66</v>
      </c>
    </row>
    <row r="824" spans="1:11" x14ac:dyDescent="0.3">
      <c r="A824" t="s">
        <v>970</v>
      </c>
      <c r="B824" t="s">
        <v>38</v>
      </c>
      <c r="C824" s="7">
        <v>45646</v>
      </c>
      <c r="D824" s="7">
        <v>45651</v>
      </c>
      <c r="E824">
        <v>5</v>
      </c>
      <c r="F824">
        <v>825073.11737712368</v>
      </c>
      <c r="G824">
        <v>8836.83</v>
      </c>
      <c r="H824" t="s">
        <v>68</v>
      </c>
      <c r="I824" t="s">
        <v>73</v>
      </c>
      <c r="J824">
        <v>46</v>
      </c>
      <c r="K824" t="s">
        <v>89</v>
      </c>
    </row>
    <row r="825" spans="1:11" x14ac:dyDescent="0.3">
      <c r="A825" t="s">
        <v>971</v>
      </c>
      <c r="B825" t="s">
        <v>39</v>
      </c>
      <c r="C825" s="7">
        <v>45491</v>
      </c>
      <c r="D825" s="7">
        <v>45502</v>
      </c>
      <c r="E825">
        <v>11</v>
      </c>
      <c r="F825">
        <v>932591.30015446106</v>
      </c>
      <c r="G825">
        <v>9157.0499999999993</v>
      </c>
      <c r="H825" t="s">
        <v>57</v>
      </c>
      <c r="I825" t="s">
        <v>69</v>
      </c>
      <c r="J825">
        <v>32</v>
      </c>
      <c r="K825" t="s">
        <v>70</v>
      </c>
    </row>
    <row r="826" spans="1:11" x14ac:dyDescent="0.3">
      <c r="A826" t="s">
        <v>973</v>
      </c>
      <c r="B826" t="s">
        <v>39</v>
      </c>
      <c r="C826" s="7">
        <v>45594</v>
      </c>
      <c r="D826" s="7">
        <v>45608</v>
      </c>
      <c r="E826">
        <v>14</v>
      </c>
      <c r="F826">
        <v>903977.15995891625</v>
      </c>
      <c r="G826">
        <v>5493.11</v>
      </c>
      <c r="H826" t="s">
        <v>68</v>
      </c>
      <c r="I826" t="s">
        <v>58</v>
      </c>
      <c r="J826">
        <v>59</v>
      </c>
      <c r="K826" t="s">
        <v>66</v>
      </c>
    </row>
    <row r="827" spans="1:11" x14ac:dyDescent="0.3">
      <c r="A827" t="s">
        <v>974</v>
      </c>
      <c r="B827" t="s">
        <v>39</v>
      </c>
      <c r="C827" s="7">
        <v>45385</v>
      </c>
      <c r="D827" s="7">
        <v>45394</v>
      </c>
      <c r="E827">
        <v>9</v>
      </c>
      <c r="F827">
        <v>180542.64231346696</v>
      </c>
      <c r="G827">
        <v>3108.45</v>
      </c>
      <c r="H827" t="s">
        <v>65</v>
      </c>
      <c r="I827" t="s">
        <v>58</v>
      </c>
      <c r="J827">
        <v>24</v>
      </c>
      <c r="K827" t="s">
        <v>77</v>
      </c>
    </row>
    <row r="828" spans="1:11" x14ac:dyDescent="0.3">
      <c r="A828" t="s">
        <v>975</v>
      </c>
      <c r="B828" t="s">
        <v>45</v>
      </c>
      <c r="C828" s="7">
        <v>46020</v>
      </c>
      <c r="D828" s="7">
        <v>46022</v>
      </c>
      <c r="E828">
        <v>2</v>
      </c>
      <c r="F828">
        <v>555927.69281379983</v>
      </c>
      <c r="G828">
        <v>1914.58</v>
      </c>
      <c r="H828" t="s">
        <v>57</v>
      </c>
      <c r="I828" t="s">
        <v>73</v>
      </c>
      <c r="J828">
        <v>13</v>
      </c>
      <c r="K828" t="s">
        <v>66</v>
      </c>
    </row>
    <row r="829" spans="1:11" x14ac:dyDescent="0.3">
      <c r="A829" t="s">
        <v>976</v>
      </c>
      <c r="B829" t="s">
        <v>42</v>
      </c>
      <c r="C829" s="7">
        <v>45611</v>
      </c>
      <c r="D829" s="7">
        <v>45624</v>
      </c>
      <c r="E829">
        <v>13</v>
      </c>
      <c r="F829">
        <v>459329.00789981306</v>
      </c>
      <c r="G829">
        <v>3360.7</v>
      </c>
      <c r="H829" t="s">
        <v>65</v>
      </c>
      <c r="I829" t="s">
        <v>69</v>
      </c>
      <c r="J829">
        <v>31</v>
      </c>
      <c r="K829" t="s">
        <v>89</v>
      </c>
    </row>
    <row r="830" spans="1:11" x14ac:dyDescent="0.3">
      <c r="A830" t="s">
        <v>977</v>
      </c>
      <c r="B830" t="s">
        <v>39</v>
      </c>
      <c r="C830" s="7">
        <v>45930</v>
      </c>
      <c r="D830" s="7">
        <v>45940</v>
      </c>
      <c r="E830">
        <v>10</v>
      </c>
      <c r="F830">
        <v>598571.66015589831</v>
      </c>
      <c r="G830">
        <v>12908.65</v>
      </c>
      <c r="H830" t="s">
        <v>57</v>
      </c>
      <c r="I830" t="s">
        <v>73</v>
      </c>
      <c r="J830">
        <v>43</v>
      </c>
      <c r="K830" t="s">
        <v>66</v>
      </c>
    </row>
    <row r="831" spans="1:11" x14ac:dyDescent="0.3">
      <c r="A831" t="s">
        <v>978</v>
      </c>
      <c r="B831" t="s">
        <v>52</v>
      </c>
      <c r="C831" s="7">
        <v>45863</v>
      </c>
      <c r="D831" s="7">
        <v>45864</v>
      </c>
      <c r="E831">
        <v>1</v>
      </c>
      <c r="F831">
        <v>540769.8393640056</v>
      </c>
      <c r="G831">
        <v>3856.6</v>
      </c>
      <c r="H831" t="s">
        <v>79</v>
      </c>
      <c r="I831" t="s">
        <v>69</v>
      </c>
      <c r="J831">
        <v>54</v>
      </c>
      <c r="K831" t="s">
        <v>70</v>
      </c>
    </row>
    <row r="832" spans="1:11" x14ac:dyDescent="0.3">
      <c r="A832" t="s">
        <v>979</v>
      </c>
      <c r="B832" t="s">
        <v>52</v>
      </c>
      <c r="C832" s="7">
        <v>45487</v>
      </c>
      <c r="D832" s="7">
        <v>45499</v>
      </c>
      <c r="E832">
        <v>12</v>
      </c>
      <c r="F832">
        <v>413258.40660164342</v>
      </c>
      <c r="G832">
        <v>13085.9</v>
      </c>
      <c r="H832" t="s">
        <v>79</v>
      </c>
      <c r="I832" t="s">
        <v>69</v>
      </c>
      <c r="J832">
        <v>2</v>
      </c>
      <c r="K832" t="s">
        <v>66</v>
      </c>
    </row>
    <row r="833" spans="1:11" x14ac:dyDescent="0.3">
      <c r="A833" t="s">
        <v>980</v>
      </c>
      <c r="B833" t="s">
        <v>44</v>
      </c>
      <c r="C833" s="7">
        <v>45754</v>
      </c>
      <c r="D833" s="7">
        <v>45765</v>
      </c>
      <c r="E833">
        <v>11</v>
      </c>
      <c r="F833">
        <v>864898.92441095749</v>
      </c>
      <c r="G833">
        <v>7294.61</v>
      </c>
      <c r="H833" t="s">
        <v>79</v>
      </c>
      <c r="I833" t="s">
        <v>58</v>
      </c>
      <c r="J833">
        <v>57</v>
      </c>
      <c r="K833" t="s">
        <v>89</v>
      </c>
    </row>
    <row r="834" spans="1:11" x14ac:dyDescent="0.3">
      <c r="A834" t="s">
        <v>981</v>
      </c>
      <c r="B834" t="s">
        <v>41</v>
      </c>
      <c r="C834" s="7">
        <v>45876</v>
      </c>
      <c r="D834" s="7">
        <v>45883</v>
      </c>
      <c r="E834">
        <v>7</v>
      </c>
      <c r="F834">
        <v>737271.25920856535</v>
      </c>
      <c r="G834">
        <v>6604.57</v>
      </c>
      <c r="H834" t="s">
        <v>57</v>
      </c>
      <c r="I834" t="s">
        <v>69</v>
      </c>
      <c r="J834">
        <v>5</v>
      </c>
      <c r="K834" t="s">
        <v>77</v>
      </c>
    </row>
    <row r="835" spans="1:11" x14ac:dyDescent="0.3">
      <c r="A835" t="s">
        <v>982</v>
      </c>
      <c r="B835" t="s">
        <v>53</v>
      </c>
      <c r="C835" s="7">
        <v>45921</v>
      </c>
      <c r="D835" s="7">
        <v>45929</v>
      </c>
      <c r="E835">
        <v>8</v>
      </c>
      <c r="F835">
        <v>466353.76629724546</v>
      </c>
      <c r="G835">
        <v>11409.78</v>
      </c>
      <c r="H835" t="s">
        <v>79</v>
      </c>
      <c r="I835" t="s">
        <v>58</v>
      </c>
      <c r="J835">
        <v>45</v>
      </c>
      <c r="K835" t="s">
        <v>77</v>
      </c>
    </row>
    <row r="836" spans="1:11" x14ac:dyDescent="0.3">
      <c r="A836" t="s">
        <v>983</v>
      </c>
      <c r="B836" t="s">
        <v>52</v>
      </c>
      <c r="C836" s="7">
        <v>45957</v>
      </c>
      <c r="D836" s="7">
        <v>45960</v>
      </c>
      <c r="E836">
        <v>3</v>
      </c>
      <c r="F836">
        <v>300433.54602950072</v>
      </c>
      <c r="G836">
        <v>13606</v>
      </c>
      <c r="H836" t="s">
        <v>76</v>
      </c>
      <c r="I836" t="s">
        <v>58</v>
      </c>
      <c r="J836">
        <v>13</v>
      </c>
      <c r="K836" t="s">
        <v>70</v>
      </c>
    </row>
    <row r="837" spans="1:11" x14ac:dyDescent="0.3">
      <c r="A837" t="s">
        <v>984</v>
      </c>
      <c r="B837" t="s">
        <v>50</v>
      </c>
      <c r="C837" s="7">
        <v>45830</v>
      </c>
      <c r="D837" s="7">
        <v>45840</v>
      </c>
      <c r="E837">
        <v>10</v>
      </c>
      <c r="F837">
        <v>654547.42485442583</v>
      </c>
      <c r="G837">
        <v>10746.79</v>
      </c>
      <c r="H837" t="s">
        <v>91</v>
      </c>
      <c r="I837" t="s">
        <v>62</v>
      </c>
      <c r="J837">
        <v>14</v>
      </c>
      <c r="K837" t="s">
        <v>89</v>
      </c>
    </row>
    <row r="838" spans="1:11" x14ac:dyDescent="0.3">
      <c r="A838" t="s">
        <v>985</v>
      </c>
      <c r="B838" t="s">
        <v>39</v>
      </c>
      <c r="C838" s="7">
        <v>45948</v>
      </c>
      <c r="D838" s="7">
        <v>45958</v>
      </c>
      <c r="E838">
        <v>10</v>
      </c>
      <c r="F838">
        <v>237740.43550717167</v>
      </c>
      <c r="G838">
        <v>9052.34</v>
      </c>
      <c r="H838" t="s">
        <v>65</v>
      </c>
      <c r="I838" t="s">
        <v>62</v>
      </c>
      <c r="J838">
        <v>12</v>
      </c>
      <c r="K838" t="s">
        <v>89</v>
      </c>
    </row>
    <row r="839" spans="1:11" x14ac:dyDescent="0.3">
      <c r="A839" t="s">
        <v>986</v>
      </c>
      <c r="B839" t="s">
        <v>41</v>
      </c>
      <c r="C839" s="7">
        <v>45766</v>
      </c>
      <c r="D839" s="7">
        <v>45780</v>
      </c>
      <c r="E839">
        <v>14</v>
      </c>
      <c r="F839">
        <v>542699.42489849031</v>
      </c>
      <c r="G839">
        <v>8153.65</v>
      </c>
      <c r="H839" t="s">
        <v>76</v>
      </c>
      <c r="I839" t="s">
        <v>62</v>
      </c>
      <c r="J839">
        <v>39</v>
      </c>
      <c r="K839" t="s">
        <v>59</v>
      </c>
    </row>
    <row r="840" spans="1:11" x14ac:dyDescent="0.3">
      <c r="A840" t="s">
        <v>987</v>
      </c>
      <c r="B840" t="s">
        <v>46</v>
      </c>
      <c r="C840" s="7">
        <v>45782</v>
      </c>
      <c r="D840" s="7">
        <v>45786</v>
      </c>
      <c r="E840">
        <v>4</v>
      </c>
      <c r="F840">
        <v>51596.405824178859</v>
      </c>
      <c r="G840">
        <v>6530.07</v>
      </c>
      <c r="H840" t="s">
        <v>68</v>
      </c>
      <c r="I840" t="s">
        <v>58</v>
      </c>
      <c r="J840">
        <v>7</v>
      </c>
      <c r="K840" t="s">
        <v>89</v>
      </c>
    </row>
    <row r="841" spans="1:11" x14ac:dyDescent="0.3">
      <c r="A841" t="s">
        <v>988</v>
      </c>
      <c r="B841" t="s">
        <v>44</v>
      </c>
      <c r="C841" s="7">
        <v>45590</v>
      </c>
      <c r="D841" s="7">
        <v>45592</v>
      </c>
      <c r="E841">
        <v>2</v>
      </c>
      <c r="F841">
        <v>119890.90371603373</v>
      </c>
      <c r="G841">
        <v>11449.84</v>
      </c>
      <c r="H841" t="s">
        <v>57</v>
      </c>
      <c r="I841" t="s">
        <v>83</v>
      </c>
      <c r="J841">
        <v>55</v>
      </c>
      <c r="K841" t="s">
        <v>59</v>
      </c>
    </row>
    <row r="842" spans="1:11" x14ac:dyDescent="0.3">
      <c r="A842" t="s">
        <v>989</v>
      </c>
      <c r="B842" t="s">
        <v>39</v>
      </c>
      <c r="C842" s="7">
        <v>45827</v>
      </c>
      <c r="D842" s="7">
        <v>45829</v>
      </c>
      <c r="E842">
        <v>2</v>
      </c>
      <c r="F842">
        <v>747499.71393119206</v>
      </c>
      <c r="G842">
        <v>13901.07</v>
      </c>
      <c r="H842" t="s">
        <v>65</v>
      </c>
      <c r="I842" t="s">
        <v>69</v>
      </c>
      <c r="J842">
        <v>14</v>
      </c>
      <c r="K842" t="s">
        <v>59</v>
      </c>
    </row>
    <row r="843" spans="1:11" x14ac:dyDescent="0.3">
      <c r="A843" t="s">
        <v>990</v>
      </c>
      <c r="B843" t="s">
        <v>38</v>
      </c>
      <c r="C843" s="7">
        <v>45972</v>
      </c>
      <c r="D843" s="7">
        <v>45983</v>
      </c>
      <c r="E843">
        <v>11</v>
      </c>
      <c r="F843">
        <v>266366.0084017358</v>
      </c>
      <c r="G843">
        <v>6561.08</v>
      </c>
      <c r="H843" t="s">
        <v>76</v>
      </c>
      <c r="I843" t="s">
        <v>73</v>
      </c>
      <c r="J843">
        <v>40</v>
      </c>
      <c r="K843" t="s">
        <v>77</v>
      </c>
    </row>
    <row r="844" spans="1:11" x14ac:dyDescent="0.3">
      <c r="A844" t="s">
        <v>991</v>
      </c>
      <c r="B844" t="s">
        <v>53</v>
      </c>
      <c r="C844" s="7">
        <v>45789</v>
      </c>
      <c r="D844" s="7">
        <v>45791</v>
      </c>
      <c r="E844">
        <v>2</v>
      </c>
      <c r="F844">
        <v>24971.555257997366</v>
      </c>
      <c r="G844">
        <v>8844.98</v>
      </c>
      <c r="H844" t="s">
        <v>79</v>
      </c>
      <c r="I844" t="s">
        <v>73</v>
      </c>
      <c r="J844">
        <v>11</v>
      </c>
      <c r="K844" t="s">
        <v>89</v>
      </c>
    </row>
    <row r="845" spans="1:11" x14ac:dyDescent="0.3">
      <c r="A845" t="s">
        <v>992</v>
      </c>
      <c r="B845" t="s">
        <v>46</v>
      </c>
      <c r="C845" s="7">
        <v>45730</v>
      </c>
      <c r="D845" s="7">
        <v>45731</v>
      </c>
      <c r="E845">
        <v>1</v>
      </c>
      <c r="F845">
        <v>545596.34379999922</v>
      </c>
      <c r="G845">
        <v>9289.16</v>
      </c>
      <c r="H845" t="s">
        <v>61</v>
      </c>
      <c r="I845" t="s">
        <v>69</v>
      </c>
      <c r="J845">
        <v>8</v>
      </c>
      <c r="K845" t="s">
        <v>59</v>
      </c>
    </row>
    <row r="846" spans="1:11" x14ac:dyDescent="0.3">
      <c r="A846" t="s">
        <v>993</v>
      </c>
      <c r="B846" t="s">
        <v>52</v>
      </c>
      <c r="C846" s="7">
        <v>45728</v>
      </c>
      <c r="D846" s="7">
        <v>45735</v>
      </c>
      <c r="E846">
        <v>7</v>
      </c>
      <c r="F846">
        <v>582027.90952498314</v>
      </c>
      <c r="G846">
        <v>13399.9</v>
      </c>
      <c r="H846" t="s">
        <v>76</v>
      </c>
      <c r="I846" t="s">
        <v>62</v>
      </c>
      <c r="J846">
        <v>7</v>
      </c>
      <c r="K846" t="s">
        <v>59</v>
      </c>
    </row>
    <row r="847" spans="1:11" x14ac:dyDescent="0.3">
      <c r="A847" t="s">
        <v>994</v>
      </c>
      <c r="B847" t="s">
        <v>48</v>
      </c>
      <c r="C847" s="7">
        <v>46019</v>
      </c>
      <c r="D847" s="7">
        <v>46032</v>
      </c>
      <c r="E847">
        <v>13</v>
      </c>
      <c r="F847">
        <v>572635.94728060416</v>
      </c>
      <c r="G847">
        <v>5923.21</v>
      </c>
      <c r="H847" t="s">
        <v>76</v>
      </c>
      <c r="I847" t="s">
        <v>73</v>
      </c>
      <c r="J847">
        <v>7</v>
      </c>
      <c r="K847" t="s">
        <v>59</v>
      </c>
    </row>
    <row r="848" spans="1:11" x14ac:dyDescent="0.3">
      <c r="A848" t="s">
        <v>995</v>
      </c>
      <c r="B848" t="s">
        <v>49</v>
      </c>
      <c r="C848" s="7">
        <v>45672</v>
      </c>
      <c r="D848" s="7">
        <v>45683</v>
      </c>
      <c r="E848">
        <v>11</v>
      </c>
      <c r="F848">
        <v>846487.83294021862</v>
      </c>
      <c r="G848">
        <v>12788.68</v>
      </c>
      <c r="H848" t="s">
        <v>79</v>
      </c>
      <c r="I848" t="s">
        <v>69</v>
      </c>
      <c r="J848">
        <v>2</v>
      </c>
      <c r="K848" t="s">
        <v>77</v>
      </c>
    </row>
    <row r="849" spans="1:11" x14ac:dyDescent="0.3">
      <c r="A849" t="s">
        <v>996</v>
      </c>
      <c r="B849" t="s">
        <v>52</v>
      </c>
      <c r="C849" s="7">
        <v>45734</v>
      </c>
      <c r="D849" s="7">
        <v>45739</v>
      </c>
      <c r="E849">
        <v>5</v>
      </c>
      <c r="F849">
        <v>140400.5306067651</v>
      </c>
      <c r="G849">
        <v>1344.88</v>
      </c>
      <c r="H849" t="s">
        <v>79</v>
      </c>
      <c r="I849" t="s">
        <v>69</v>
      </c>
      <c r="J849">
        <v>11</v>
      </c>
      <c r="K849" t="s">
        <v>89</v>
      </c>
    </row>
    <row r="850" spans="1:11" x14ac:dyDescent="0.3">
      <c r="A850" t="s">
        <v>997</v>
      </c>
      <c r="B850" t="s">
        <v>41</v>
      </c>
      <c r="C850" s="7">
        <v>45869</v>
      </c>
      <c r="D850" s="7">
        <v>45873</v>
      </c>
      <c r="E850">
        <v>4</v>
      </c>
      <c r="F850">
        <v>239391.19021557376</v>
      </c>
      <c r="G850">
        <v>4502.05</v>
      </c>
      <c r="H850" t="s">
        <v>76</v>
      </c>
      <c r="I850" t="s">
        <v>69</v>
      </c>
      <c r="J850">
        <v>39</v>
      </c>
      <c r="K850" t="s">
        <v>89</v>
      </c>
    </row>
    <row r="851" spans="1:11" x14ac:dyDescent="0.3">
      <c r="A851" t="s">
        <v>998</v>
      </c>
      <c r="B851" t="s">
        <v>44</v>
      </c>
      <c r="C851" s="7">
        <v>45753</v>
      </c>
      <c r="D851" s="7">
        <v>45764</v>
      </c>
      <c r="E851">
        <v>11</v>
      </c>
      <c r="F851">
        <v>426036.3532055805</v>
      </c>
      <c r="G851">
        <v>6477.24</v>
      </c>
      <c r="H851" t="s">
        <v>68</v>
      </c>
      <c r="I851" t="s">
        <v>62</v>
      </c>
      <c r="J851">
        <v>23</v>
      </c>
      <c r="K851" t="s">
        <v>66</v>
      </c>
    </row>
    <row r="852" spans="1:11" x14ac:dyDescent="0.3">
      <c r="A852" t="s">
        <v>999</v>
      </c>
      <c r="B852" t="s">
        <v>43</v>
      </c>
      <c r="C852" s="7">
        <v>45589</v>
      </c>
      <c r="D852" s="7">
        <v>45591</v>
      </c>
      <c r="E852">
        <v>2</v>
      </c>
      <c r="F852">
        <v>211256.58822889527</v>
      </c>
      <c r="G852">
        <v>8865.32</v>
      </c>
      <c r="H852" t="s">
        <v>91</v>
      </c>
      <c r="I852" t="s">
        <v>58</v>
      </c>
      <c r="J852">
        <v>34</v>
      </c>
      <c r="K852" t="s">
        <v>66</v>
      </c>
    </row>
    <row r="853" spans="1:11" x14ac:dyDescent="0.3">
      <c r="A853" t="s">
        <v>1000</v>
      </c>
      <c r="B853" t="s">
        <v>44</v>
      </c>
      <c r="C853" s="7">
        <v>45679</v>
      </c>
      <c r="D853" s="7">
        <v>45680</v>
      </c>
      <c r="E853">
        <v>1</v>
      </c>
      <c r="F853">
        <v>674606.09528383904</v>
      </c>
      <c r="G853">
        <v>2549.5500000000002</v>
      </c>
      <c r="H853" t="s">
        <v>91</v>
      </c>
      <c r="I853" t="s">
        <v>58</v>
      </c>
      <c r="J853">
        <v>4</v>
      </c>
      <c r="K853" t="s">
        <v>70</v>
      </c>
    </row>
    <row r="854" spans="1:11" x14ac:dyDescent="0.3">
      <c r="A854" t="s">
        <v>1001</v>
      </c>
      <c r="B854" t="s">
        <v>46</v>
      </c>
      <c r="C854" s="7">
        <v>45579</v>
      </c>
      <c r="D854" s="7">
        <v>45583</v>
      </c>
      <c r="E854">
        <v>4</v>
      </c>
      <c r="F854">
        <v>137664.30464147223</v>
      </c>
      <c r="G854">
        <v>6651.23</v>
      </c>
      <c r="H854" t="s">
        <v>79</v>
      </c>
      <c r="I854" t="s">
        <v>73</v>
      </c>
      <c r="J854">
        <v>15</v>
      </c>
      <c r="K854" t="s">
        <v>89</v>
      </c>
    </row>
    <row r="855" spans="1:11" x14ac:dyDescent="0.3">
      <c r="A855" t="s">
        <v>1002</v>
      </c>
      <c r="B855" t="s">
        <v>40</v>
      </c>
      <c r="C855" s="7">
        <v>45775</v>
      </c>
      <c r="D855" s="7">
        <v>45788</v>
      </c>
      <c r="E855">
        <v>13</v>
      </c>
      <c r="F855">
        <v>90791.508962112974</v>
      </c>
      <c r="G855">
        <v>971.77</v>
      </c>
      <c r="H855" t="s">
        <v>65</v>
      </c>
      <c r="I855" t="s">
        <v>73</v>
      </c>
      <c r="J855">
        <v>19</v>
      </c>
      <c r="K855" t="s">
        <v>77</v>
      </c>
    </row>
    <row r="856" spans="1:11" x14ac:dyDescent="0.3">
      <c r="A856" t="s">
        <v>1003</v>
      </c>
      <c r="B856" t="s">
        <v>44</v>
      </c>
      <c r="C856" s="7">
        <v>45376</v>
      </c>
      <c r="D856" s="7">
        <v>45388</v>
      </c>
      <c r="E856">
        <v>12</v>
      </c>
      <c r="F856">
        <v>916017.06232616107</v>
      </c>
      <c r="G856">
        <v>9118.99</v>
      </c>
      <c r="H856" t="s">
        <v>57</v>
      </c>
      <c r="I856" t="s">
        <v>83</v>
      </c>
      <c r="J856">
        <v>50</v>
      </c>
      <c r="K856" t="s">
        <v>59</v>
      </c>
    </row>
    <row r="857" spans="1:11" x14ac:dyDescent="0.3">
      <c r="A857" t="s">
        <v>1004</v>
      </c>
      <c r="B857" t="s">
        <v>52</v>
      </c>
      <c r="C857" s="7">
        <v>45496</v>
      </c>
      <c r="D857" s="7">
        <v>45508</v>
      </c>
      <c r="E857">
        <v>12</v>
      </c>
      <c r="F857">
        <v>442377.49100387527</v>
      </c>
      <c r="G857">
        <v>11460.73</v>
      </c>
      <c r="H857" t="s">
        <v>65</v>
      </c>
      <c r="I857" t="s">
        <v>73</v>
      </c>
      <c r="J857">
        <v>10</v>
      </c>
      <c r="K857" t="s">
        <v>77</v>
      </c>
    </row>
    <row r="858" spans="1:11" x14ac:dyDescent="0.3">
      <c r="A858" t="s">
        <v>1005</v>
      </c>
      <c r="B858" t="s">
        <v>41</v>
      </c>
      <c r="C858" s="7">
        <v>45477</v>
      </c>
      <c r="D858" s="7">
        <v>45489</v>
      </c>
      <c r="E858">
        <v>12</v>
      </c>
      <c r="F858">
        <v>261773.23914569299</v>
      </c>
      <c r="G858">
        <v>12236.93</v>
      </c>
      <c r="H858" t="s">
        <v>91</v>
      </c>
      <c r="I858" t="s">
        <v>58</v>
      </c>
      <c r="J858">
        <v>58</v>
      </c>
      <c r="K858" t="s">
        <v>59</v>
      </c>
    </row>
    <row r="859" spans="1:11" x14ac:dyDescent="0.3">
      <c r="A859" t="s">
        <v>1006</v>
      </c>
      <c r="B859" t="s">
        <v>40</v>
      </c>
      <c r="C859" s="7">
        <v>45833</v>
      </c>
      <c r="D859" s="7">
        <v>45835</v>
      </c>
      <c r="E859">
        <v>2</v>
      </c>
      <c r="F859">
        <v>807004.3717270192</v>
      </c>
      <c r="G859">
        <v>3780.5</v>
      </c>
      <c r="H859" t="s">
        <v>91</v>
      </c>
      <c r="I859" t="s">
        <v>62</v>
      </c>
      <c r="J859">
        <v>37</v>
      </c>
      <c r="K859" t="s">
        <v>70</v>
      </c>
    </row>
    <row r="860" spans="1:11" x14ac:dyDescent="0.3">
      <c r="A860" t="s">
        <v>1008</v>
      </c>
      <c r="B860" t="s">
        <v>38</v>
      </c>
      <c r="C860" s="7">
        <v>45968</v>
      </c>
      <c r="D860" s="7">
        <v>45980</v>
      </c>
      <c r="E860">
        <v>12</v>
      </c>
      <c r="F860">
        <v>468413.5575705613</v>
      </c>
      <c r="G860">
        <v>11363.03</v>
      </c>
      <c r="H860" t="s">
        <v>91</v>
      </c>
      <c r="I860" t="s">
        <v>58</v>
      </c>
      <c r="J860">
        <v>47</v>
      </c>
      <c r="K860" t="s">
        <v>89</v>
      </c>
    </row>
    <row r="861" spans="1:11" x14ac:dyDescent="0.3">
      <c r="A861" t="s">
        <v>1009</v>
      </c>
      <c r="B861" t="s">
        <v>46</v>
      </c>
      <c r="C861" s="7">
        <v>45546</v>
      </c>
      <c r="D861" s="7">
        <v>45549</v>
      </c>
      <c r="E861">
        <v>3</v>
      </c>
      <c r="F861">
        <v>72889.172597734243</v>
      </c>
      <c r="G861">
        <v>14921.78</v>
      </c>
      <c r="H861" t="s">
        <v>79</v>
      </c>
      <c r="I861" t="s">
        <v>62</v>
      </c>
      <c r="J861">
        <v>8</v>
      </c>
      <c r="K861" t="s">
        <v>77</v>
      </c>
    </row>
    <row r="862" spans="1:11" x14ac:dyDescent="0.3">
      <c r="A862" t="s">
        <v>1010</v>
      </c>
      <c r="B862" t="s">
        <v>44</v>
      </c>
      <c r="C862" s="7">
        <v>45865</v>
      </c>
      <c r="D862" s="7">
        <v>45865</v>
      </c>
      <c r="E862">
        <v>0</v>
      </c>
      <c r="F862">
        <v>301851.83585784305</v>
      </c>
      <c r="G862">
        <v>3140.8</v>
      </c>
      <c r="H862" t="s">
        <v>57</v>
      </c>
      <c r="I862" t="s">
        <v>73</v>
      </c>
      <c r="J862">
        <v>28</v>
      </c>
      <c r="K862" t="s">
        <v>66</v>
      </c>
    </row>
    <row r="863" spans="1:11" x14ac:dyDescent="0.3">
      <c r="A863" t="s">
        <v>1011</v>
      </c>
      <c r="B863" t="s">
        <v>52</v>
      </c>
      <c r="C863" s="7">
        <v>45734</v>
      </c>
      <c r="D863" s="7">
        <v>45744</v>
      </c>
      <c r="E863">
        <v>10</v>
      </c>
      <c r="F863">
        <v>756890.40587568004</v>
      </c>
      <c r="G863">
        <v>6066.14</v>
      </c>
      <c r="H863" t="s">
        <v>76</v>
      </c>
      <c r="I863" t="s">
        <v>83</v>
      </c>
      <c r="J863">
        <v>58</v>
      </c>
      <c r="K863" t="s">
        <v>66</v>
      </c>
    </row>
    <row r="864" spans="1:11" x14ac:dyDescent="0.3">
      <c r="A864" t="s">
        <v>1012</v>
      </c>
      <c r="B864" t="s">
        <v>42</v>
      </c>
      <c r="C864" s="7">
        <v>45994</v>
      </c>
      <c r="D864" s="7">
        <v>46005</v>
      </c>
      <c r="E864">
        <v>11</v>
      </c>
      <c r="F864">
        <v>444910.46898660221</v>
      </c>
      <c r="G864">
        <v>13259.27</v>
      </c>
      <c r="H864" t="s">
        <v>68</v>
      </c>
      <c r="I864" t="s">
        <v>73</v>
      </c>
      <c r="J864">
        <v>27</v>
      </c>
      <c r="K864" t="s">
        <v>59</v>
      </c>
    </row>
    <row r="865" spans="1:11" x14ac:dyDescent="0.3">
      <c r="A865" t="s">
        <v>1013</v>
      </c>
      <c r="B865" t="s">
        <v>40</v>
      </c>
      <c r="C865" s="7">
        <v>45902</v>
      </c>
      <c r="D865" s="7">
        <v>45907</v>
      </c>
      <c r="E865">
        <v>5</v>
      </c>
      <c r="F865">
        <v>53614.912351036008</v>
      </c>
      <c r="G865">
        <v>7083.32</v>
      </c>
      <c r="H865" t="s">
        <v>68</v>
      </c>
      <c r="I865" t="s">
        <v>69</v>
      </c>
      <c r="J865">
        <v>5</v>
      </c>
      <c r="K865" t="s">
        <v>77</v>
      </c>
    </row>
    <row r="866" spans="1:11" x14ac:dyDescent="0.3">
      <c r="A866" t="s">
        <v>1014</v>
      </c>
      <c r="B866" t="s">
        <v>42</v>
      </c>
      <c r="C866" s="7">
        <v>45552</v>
      </c>
      <c r="D866" s="7">
        <v>45553</v>
      </c>
      <c r="E866">
        <v>1</v>
      </c>
      <c r="F866">
        <v>141752.12969082801</v>
      </c>
      <c r="G866">
        <v>10724.35</v>
      </c>
      <c r="H866" t="s">
        <v>61</v>
      </c>
      <c r="I866" t="s">
        <v>83</v>
      </c>
      <c r="J866">
        <v>2</v>
      </c>
      <c r="K866" t="s">
        <v>77</v>
      </c>
    </row>
    <row r="867" spans="1:11" x14ac:dyDescent="0.3">
      <c r="A867" t="s">
        <v>1015</v>
      </c>
      <c r="B867" t="s">
        <v>48</v>
      </c>
      <c r="C867" s="7">
        <v>45571</v>
      </c>
      <c r="D867" s="7">
        <v>45578</v>
      </c>
      <c r="E867">
        <v>7</v>
      </c>
      <c r="F867">
        <v>386235.31701962196</v>
      </c>
      <c r="G867">
        <v>12017.97</v>
      </c>
      <c r="H867" t="s">
        <v>68</v>
      </c>
      <c r="I867" t="s">
        <v>62</v>
      </c>
      <c r="J867">
        <v>40</v>
      </c>
      <c r="K867" t="s">
        <v>70</v>
      </c>
    </row>
    <row r="868" spans="1:11" x14ac:dyDescent="0.3">
      <c r="A868" t="s">
        <v>1016</v>
      </c>
      <c r="B868" t="s">
        <v>43</v>
      </c>
      <c r="C868" s="7">
        <v>45846</v>
      </c>
      <c r="D868" s="7">
        <v>45855</v>
      </c>
      <c r="E868">
        <v>9</v>
      </c>
      <c r="F868">
        <v>120252.93918497917</v>
      </c>
      <c r="G868">
        <v>6688.29</v>
      </c>
      <c r="H868" t="s">
        <v>68</v>
      </c>
      <c r="I868" t="s">
        <v>69</v>
      </c>
      <c r="J868">
        <v>49</v>
      </c>
      <c r="K868" t="s">
        <v>77</v>
      </c>
    </row>
    <row r="869" spans="1:11" x14ac:dyDescent="0.3">
      <c r="A869" t="s">
        <v>1018</v>
      </c>
      <c r="B869" t="s">
        <v>40</v>
      </c>
      <c r="C869" s="7">
        <v>45577</v>
      </c>
      <c r="D869" s="7">
        <v>45578</v>
      </c>
      <c r="E869">
        <v>1</v>
      </c>
      <c r="F869">
        <v>588928.178533094</v>
      </c>
      <c r="G869">
        <v>4281.25</v>
      </c>
      <c r="H869" t="s">
        <v>76</v>
      </c>
      <c r="I869" t="s">
        <v>83</v>
      </c>
      <c r="J869">
        <v>3</v>
      </c>
      <c r="K869" t="s">
        <v>70</v>
      </c>
    </row>
    <row r="870" spans="1:11" x14ac:dyDescent="0.3">
      <c r="A870" t="s">
        <v>1019</v>
      </c>
      <c r="B870" t="s">
        <v>40</v>
      </c>
      <c r="C870" s="7">
        <v>45978</v>
      </c>
      <c r="D870" s="7">
        <v>45981</v>
      </c>
      <c r="E870">
        <v>3</v>
      </c>
      <c r="F870">
        <v>399697.32011488226</v>
      </c>
      <c r="G870">
        <v>12423.65</v>
      </c>
      <c r="H870" t="s">
        <v>76</v>
      </c>
      <c r="I870" t="s">
        <v>69</v>
      </c>
      <c r="J870">
        <v>36</v>
      </c>
      <c r="K870" t="s">
        <v>77</v>
      </c>
    </row>
    <row r="871" spans="1:11" x14ac:dyDescent="0.3">
      <c r="A871" t="s">
        <v>1020</v>
      </c>
      <c r="B871" t="s">
        <v>53</v>
      </c>
      <c r="C871" s="7">
        <v>45450</v>
      </c>
      <c r="D871" s="7">
        <v>45452</v>
      </c>
      <c r="E871">
        <v>2</v>
      </c>
      <c r="F871">
        <v>818687.31982488278</v>
      </c>
      <c r="G871">
        <v>4129.51</v>
      </c>
      <c r="H871" t="s">
        <v>68</v>
      </c>
      <c r="I871" t="s">
        <v>83</v>
      </c>
      <c r="J871">
        <v>15</v>
      </c>
      <c r="K871" t="s">
        <v>89</v>
      </c>
    </row>
    <row r="872" spans="1:11" x14ac:dyDescent="0.3">
      <c r="A872" t="s">
        <v>1021</v>
      </c>
      <c r="B872" t="s">
        <v>53</v>
      </c>
      <c r="C872" s="7">
        <v>45728</v>
      </c>
      <c r="D872" s="7">
        <v>45729</v>
      </c>
      <c r="E872">
        <v>1</v>
      </c>
      <c r="F872">
        <v>638820.47705344728</v>
      </c>
      <c r="G872">
        <v>12213.01</v>
      </c>
      <c r="H872" t="s">
        <v>61</v>
      </c>
      <c r="I872" t="s">
        <v>58</v>
      </c>
      <c r="J872">
        <v>47</v>
      </c>
      <c r="K872" t="s">
        <v>70</v>
      </c>
    </row>
    <row r="873" spans="1:11" x14ac:dyDescent="0.3">
      <c r="A873" t="s">
        <v>1022</v>
      </c>
      <c r="B873" t="s">
        <v>50</v>
      </c>
      <c r="C873" s="7">
        <v>45841</v>
      </c>
      <c r="D873" s="7">
        <v>45844</v>
      </c>
      <c r="E873">
        <v>3</v>
      </c>
      <c r="F873">
        <v>776993.53680127964</v>
      </c>
      <c r="G873">
        <v>6621.33</v>
      </c>
      <c r="H873" t="s">
        <v>61</v>
      </c>
      <c r="I873" t="s">
        <v>62</v>
      </c>
      <c r="J873">
        <v>33</v>
      </c>
      <c r="K873" t="s">
        <v>70</v>
      </c>
    </row>
    <row r="874" spans="1:11" x14ac:dyDescent="0.3">
      <c r="A874" t="s">
        <v>1023</v>
      </c>
      <c r="B874" t="s">
        <v>53</v>
      </c>
      <c r="C874" s="7">
        <v>45553</v>
      </c>
      <c r="D874" s="7">
        <v>45567</v>
      </c>
      <c r="E874">
        <v>14</v>
      </c>
      <c r="F874">
        <v>96798.757146825024</v>
      </c>
      <c r="G874">
        <v>8224.7000000000007</v>
      </c>
      <c r="H874" t="s">
        <v>61</v>
      </c>
      <c r="I874" t="s">
        <v>69</v>
      </c>
      <c r="J874">
        <v>48</v>
      </c>
      <c r="K874" t="s">
        <v>89</v>
      </c>
    </row>
    <row r="875" spans="1:11" x14ac:dyDescent="0.3">
      <c r="A875" t="s">
        <v>1024</v>
      </c>
      <c r="B875" t="s">
        <v>47</v>
      </c>
      <c r="C875" s="7">
        <v>45536</v>
      </c>
      <c r="D875" s="7">
        <v>45539</v>
      </c>
      <c r="E875">
        <v>3</v>
      </c>
      <c r="F875">
        <v>157425.72489638304</v>
      </c>
      <c r="G875">
        <v>7321.37</v>
      </c>
      <c r="H875" t="s">
        <v>65</v>
      </c>
      <c r="I875" t="s">
        <v>83</v>
      </c>
      <c r="J875">
        <v>50</v>
      </c>
      <c r="K875" t="s">
        <v>70</v>
      </c>
    </row>
    <row r="876" spans="1:11" x14ac:dyDescent="0.3">
      <c r="A876" t="s">
        <v>1025</v>
      </c>
      <c r="B876" t="s">
        <v>44</v>
      </c>
      <c r="C876" s="7">
        <v>45942</v>
      </c>
      <c r="D876" s="7">
        <v>45944</v>
      </c>
      <c r="E876">
        <v>2</v>
      </c>
      <c r="F876">
        <v>396500.61043908866</v>
      </c>
      <c r="G876">
        <v>14679.71</v>
      </c>
      <c r="H876" t="s">
        <v>61</v>
      </c>
      <c r="I876" t="s">
        <v>62</v>
      </c>
      <c r="J876">
        <v>8</v>
      </c>
      <c r="K876" t="s">
        <v>70</v>
      </c>
    </row>
    <row r="877" spans="1:11" x14ac:dyDescent="0.3">
      <c r="A877" t="s">
        <v>1027</v>
      </c>
      <c r="B877" t="s">
        <v>43</v>
      </c>
      <c r="C877" s="7">
        <v>45920</v>
      </c>
      <c r="D877" s="7">
        <v>45921</v>
      </c>
      <c r="E877">
        <v>1</v>
      </c>
      <c r="F877">
        <v>941505.62963981042</v>
      </c>
      <c r="G877">
        <v>9292.58</v>
      </c>
      <c r="H877" t="s">
        <v>79</v>
      </c>
      <c r="I877" t="s">
        <v>73</v>
      </c>
      <c r="J877">
        <v>51</v>
      </c>
      <c r="K877" t="s">
        <v>66</v>
      </c>
    </row>
    <row r="878" spans="1:11" x14ac:dyDescent="0.3">
      <c r="A878" t="s">
        <v>1028</v>
      </c>
      <c r="B878" t="s">
        <v>52</v>
      </c>
      <c r="C878" s="7">
        <v>45781</v>
      </c>
      <c r="D878" s="7">
        <v>45790</v>
      </c>
      <c r="E878">
        <v>9</v>
      </c>
      <c r="F878">
        <v>279901.68889067625</v>
      </c>
      <c r="G878">
        <v>12585.38</v>
      </c>
      <c r="H878" t="s">
        <v>57</v>
      </c>
      <c r="I878" t="s">
        <v>58</v>
      </c>
      <c r="J878">
        <v>19</v>
      </c>
      <c r="K878" t="s">
        <v>66</v>
      </c>
    </row>
    <row r="879" spans="1:11" x14ac:dyDescent="0.3">
      <c r="A879" t="s">
        <v>1029</v>
      </c>
      <c r="B879" t="s">
        <v>45</v>
      </c>
      <c r="C879" s="7">
        <v>45859</v>
      </c>
      <c r="D879" s="7">
        <v>45861</v>
      </c>
      <c r="E879">
        <v>2</v>
      </c>
      <c r="F879">
        <v>614176.65916733735</v>
      </c>
      <c r="G879">
        <v>10559.15</v>
      </c>
      <c r="H879" t="s">
        <v>57</v>
      </c>
      <c r="I879" t="s">
        <v>69</v>
      </c>
      <c r="J879">
        <v>39</v>
      </c>
      <c r="K879" t="s">
        <v>66</v>
      </c>
    </row>
    <row r="880" spans="1:11" x14ac:dyDescent="0.3">
      <c r="A880" t="s">
        <v>1030</v>
      </c>
      <c r="B880" t="s">
        <v>38</v>
      </c>
      <c r="C880" s="7">
        <v>45847</v>
      </c>
      <c r="D880" s="7">
        <v>45857</v>
      </c>
      <c r="E880">
        <v>10</v>
      </c>
      <c r="F880">
        <v>157768.7058669629</v>
      </c>
      <c r="G880">
        <v>7195.37</v>
      </c>
      <c r="H880" t="s">
        <v>68</v>
      </c>
      <c r="I880" t="s">
        <v>62</v>
      </c>
      <c r="J880">
        <v>33</v>
      </c>
      <c r="K880" t="s">
        <v>70</v>
      </c>
    </row>
    <row r="881" spans="1:11" x14ac:dyDescent="0.3">
      <c r="A881" t="s">
        <v>1032</v>
      </c>
      <c r="B881" t="s">
        <v>40</v>
      </c>
      <c r="C881" s="7">
        <v>45918</v>
      </c>
      <c r="D881" s="7">
        <v>45930</v>
      </c>
      <c r="E881">
        <v>12</v>
      </c>
      <c r="F881">
        <v>319117.75197681243</v>
      </c>
      <c r="G881">
        <v>4935.2700000000004</v>
      </c>
      <c r="H881" t="s">
        <v>76</v>
      </c>
      <c r="I881" t="s">
        <v>69</v>
      </c>
      <c r="J881">
        <v>28</v>
      </c>
      <c r="K881" t="s">
        <v>89</v>
      </c>
    </row>
    <row r="882" spans="1:11" x14ac:dyDescent="0.3">
      <c r="A882" t="s">
        <v>1034</v>
      </c>
      <c r="B882" t="s">
        <v>43</v>
      </c>
      <c r="C882" s="7">
        <v>45560</v>
      </c>
      <c r="D882" s="7">
        <v>45565</v>
      </c>
      <c r="E882">
        <v>5</v>
      </c>
      <c r="F882">
        <v>65898.712297359874</v>
      </c>
      <c r="G882">
        <v>664.42</v>
      </c>
      <c r="H882" t="s">
        <v>79</v>
      </c>
      <c r="I882" t="s">
        <v>62</v>
      </c>
      <c r="J882">
        <v>25</v>
      </c>
      <c r="K882" t="s">
        <v>66</v>
      </c>
    </row>
    <row r="883" spans="1:11" x14ac:dyDescent="0.3">
      <c r="A883" t="s">
        <v>1036</v>
      </c>
      <c r="B883" t="s">
        <v>38</v>
      </c>
      <c r="C883" s="7">
        <v>45785</v>
      </c>
      <c r="D883" s="7">
        <v>45786</v>
      </c>
      <c r="E883">
        <v>1</v>
      </c>
      <c r="F883">
        <v>465505.84111997852</v>
      </c>
      <c r="G883">
        <v>14827.86</v>
      </c>
      <c r="H883" t="s">
        <v>76</v>
      </c>
      <c r="I883" t="s">
        <v>83</v>
      </c>
      <c r="J883">
        <v>57</v>
      </c>
      <c r="K883" t="s">
        <v>66</v>
      </c>
    </row>
    <row r="884" spans="1:11" x14ac:dyDescent="0.3">
      <c r="A884" t="s">
        <v>1037</v>
      </c>
      <c r="B884" t="s">
        <v>46</v>
      </c>
      <c r="C884" s="7">
        <v>45865</v>
      </c>
      <c r="D884" s="7">
        <v>45879</v>
      </c>
      <c r="E884">
        <v>14</v>
      </c>
      <c r="F884">
        <v>195227.30905384998</v>
      </c>
      <c r="G884">
        <v>2871.59</v>
      </c>
      <c r="H884" t="s">
        <v>57</v>
      </c>
      <c r="I884" t="s">
        <v>83</v>
      </c>
      <c r="J884">
        <v>41</v>
      </c>
      <c r="K884" t="s">
        <v>70</v>
      </c>
    </row>
    <row r="885" spans="1:11" x14ac:dyDescent="0.3">
      <c r="A885" t="s">
        <v>1038</v>
      </c>
      <c r="B885" t="s">
        <v>50</v>
      </c>
      <c r="C885" s="7">
        <v>45922</v>
      </c>
      <c r="D885" s="7">
        <v>45922</v>
      </c>
      <c r="E885">
        <v>0</v>
      </c>
      <c r="F885">
        <v>102496.05215812415</v>
      </c>
      <c r="G885">
        <v>11619.21</v>
      </c>
      <c r="H885" t="s">
        <v>91</v>
      </c>
      <c r="I885" t="s">
        <v>73</v>
      </c>
      <c r="J885">
        <v>14</v>
      </c>
      <c r="K885" t="s">
        <v>66</v>
      </c>
    </row>
    <row r="886" spans="1:11" x14ac:dyDescent="0.3">
      <c r="A886" t="s">
        <v>1039</v>
      </c>
      <c r="B886" t="s">
        <v>44</v>
      </c>
      <c r="C886" s="7">
        <v>45692</v>
      </c>
      <c r="D886" s="7">
        <v>45699</v>
      </c>
      <c r="E886">
        <v>7</v>
      </c>
      <c r="F886">
        <v>918676.43514804624</v>
      </c>
      <c r="G886">
        <v>8946.43</v>
      </c>
      <c r="H886" t="s">
        <v>61</v>
      </c>
      <c r="I886" t="s">
        <v>58</v>
      </c>
      <c r="J886">
        <v>49</v>
      </c>
      <c r="K886" t="s">
        <v>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1BBF-8506-4383-A6E3-857E2EBA9E1B}">
  <dimension ref="A1:H901"/>
  <sheetViews>
    <sheetView tabSelected="1" zoomScaleNormal="100" workbookViewId="0">
      <pane ySplit="1" topLeftCell="A2" activePane="bottomLeft" state="frozen"/>
      <selection pane="bottomLeft" activeCell="K14" sqref="K14"/>
    </sheetView>
  </sheetViews>
  <sheetFormatPr defaultRowHeight="14.4" x14ac:dyDescent="0.3"/>
  <cols>
    <col min="1" max="1" width="14.44140625" customWidth="1"/>
    <col min="2" max="2" width="12.33203125" customWidth="1"/>
    <col min="3" max="3" width="18.6640625" customWidth="1"/>
    <col min="4" max="4" width="16.5546875" customWidth="1"/>
    <col min="5" max="5" width="16.88671875" customWidth="1"/>
    <col min="6" max="6" width="21.33203125" customWidth="1"/>
    <col min="7" max="7" width="23.33203125" customWidth="1"/>
    <col min="8" max="8" width="21.109375" bestFit="1" customWidth="1"/>
  </cols>
  <sheetData>
    <row r="1" spans="1:8" x14ac:dyDescent="0.3">
      <c r="A1" s="1" t="s">
        <v>2879</v>
      </c>
      <c r="B1" s="1" t="s">
        <v>2863</v>
      </c>
      <c r="C1" s="1" t="s">
        <v>2880</v>
      </c>
      <c r="D1" s="1" t="s">
        <v>2881</v>
      </c>
      <c r="E1" s="1" t="s">
        <v>2882</v>
      </c>
      <c r="F1" s="1" t="s">
        <v>2883</v>
      </c>
      <c r="G1" s="1" t="s">
        <v>2931</v>
      </c>
      <c r="H1" s="1" t="s">
        <v>2932</v>
      </c>
    </row>
    <row r="2" spans="1:8" x14ac:dyDescent="0.3">
      <c r="A2" t="s">
        <v>1657</v>
      </c>
      <c r="B2" t="s">
        <v>38</v>
      </c>
      <c r="C2">
        <v>5</v>
      </c>
      <c r="D2" s="9">
        <v>99.98</v>
      </c>
      <c r="E2" t="s">
        <v>1041</v>
      </c>
      <c r="F2" s="10">
        <v>26.82</v>
      </c>
      <c r="G2">
        <f>Meter[[#This Row],[EstimatedLoss_RM]]/0.8</f>
        <v>33.524999999999999</v>
      </c>
      <c r="H2" t="str" cm="1">
        <f t="array" ref="H2">_xlfn.IFS(C2&lt;=5, "0–5 years", C2&lt;=10, "6–10 years", C2&lt;=15, "11–15 years", C2&lt;=20, "16–20 years", TRUE, "21–25 years")</f>
        <v>0–5 years</v>
      </c>
    </row>
    <row r="3" spans="1:8" x14ac:dyDescent="0.3">
      <c r="A3" t="s">
        <v>1252</v>
      </c>
      <c r="B3" t="s">
        <v>53</v>
      </c>
      <c r="C3">
        <v>13</v>
      </c>
      <c r="D3" s="2">
        <v>99.98</v>
      </c>
      <c r="E3" t="s">
        <v>1041</v>
      </c>
      <c r="F3" s="11">
        <v>32.97</v>
      </c>
      <c r="G3">
        <f>Meter[[#This Row],[EstimatedLoss_RM]]/0.8</f>
        <v>41.212499999999999</v>
      </c>
      <c r="H3" t="str" cm="1">
        <f t="array" ref="H3">_xlfn.IFS(C3&lt;=5, "0–5 years", C3&lt;=10, "6–10 years", C3&lt;=15, "11–15 years", C3&lt;=20, "16–20 years", TRUE, "21–25 years")</f>
        <v>11–15 years</v>
      </c>
    </row>
    <row r="4" spans="1:8" x14ac:dyDescent="0.3">
      <c r="A4" t="s">
        <v>1168</v>
      </c>
      <c r="B4" t="s">
        <v>38</v>
      </c>
      <c r="C4">
        <v>5</v>
      </c>
      <c r="D4" s="9">
        <v>99.97</v>
      </c>
      <c r="E4" t="s">
        <v>1043</v>
      </c>
      <c r="F4" s="10">
        <v>40.54</v>
      </c>
      <c r="G4">
        <f>Meter[[#This Row],[EstimatedLoss_RM]]/0.8</f>
        <v>50.674999999999997</v>
      </c>
      <c r="H4" t="str" cm="1">
        <f t="array" ref="H4">_xlfn.IFS(C4&lt;=5, "0–5 years", C4&lt;=10, "6–10 years", C4&lt;=15, "11–15 years", C4&lt;=20, "16–20 years", TRUE, "21–25 years")</f>
        <v>0–5 years</v>
      </c>
    </row>
    <row r="5" spans="1:8" x14ac:dyDescent="0.3">
      <c r="A5" t="s">
        <v>1210</v>
      </c>
      <c r="B5" t="s">
        <v>52</v>
      </c>
      <c r="C5">
        <v>2</v>
      </c>
      <c r="D5" s="2">
        <v>99.96</v>
      </c>
      <c r="E5" t="s">
        <v>1043</v>
      </c>
      <c r="F5" s="11">
        <v>67.55</v>
      </c>
      <c r="G5">
        <f>Meter[[#This Row],[EstimatedLoss_RM]]/0.8</f>
        <v>84.437499999999986</v>
      </c>
      <c r="H5" t="str" cm="1">
        <f t="array" ref="H5">_xlfn.IFS(C5&lt;=5, "0–5 years", C5&lt;=10, "6–10 years", C5&lt;=15, "11–15 years", C5&lt;=20, "16–20 years", TRUE, "21–25 years")</f>
        <v>0–5 years</v>
      </c>
    </row>
    <row r="6" spans="1:8" x14ac:dyDescent="0.3">
      <c r="A6" t="s">
        <v>1503</v>
      </c>
      <c r="B6" t="s">
        <v>44</v>
      </c>
      <c r="C6">
        <v>3</v>
      </c>
      <c r="D6" s="9">
        <v>99.96</v>
      </c>
      <c r="E6" t="s">
        <v>1045</v>
      </c>
      <c r="F6" s="10">
        <v>65.16</v>
      </c>
      <c r="G6">
        <f>Meter[[#This Row],[EstimatedLoss_RM]]/0.8</f>
        <v>81.449999999999989</v>
      </c>
      <c r="H6" t="str" cm="1">
        <f t="array" ref="H6">_xlfn.IFS(C6&lt;=5, "0–5 years", C6&lt;=10, "6–10 years", C6&lt;=15, "11–15 years", C6&lt;=20, "16–20 years", TRUE, "21–25 years")</f>
        <v>0–5 years</v>
      </c>
    </row>
    <row r="7" spans="1:8" x14ac:dyDescent="0.3">
      <c r="A7" t="s">
        <v>1534</v>
      </c>
      <c r="B7" t="s">
        <v>44</v>
      </c>
      <c r="C7">
        <v>1</v>
      </c>
      <c r="D7" s="2">
        <v>99.95</v>
      </c>
      <c r="E7" t="s">
        <v>1041</v>
      </c>
      <c r="F7" s="11">
        <v>79.58</v>
      </c>
      <c r="G7">
        <f>Meter[[#This Row],[EstimatedLoss_RM]]/0.8</f>
        <v>99.474999999999994</v>
      </c>
      <c r="H7" t="str" cm="1">
        <f t="array" ref="H7">_xlfn.IFS(C7&lt;=5, "0–5 years", C7&lt;=10, "6–10 years", C7&lt;=15, "11–15 years", C7&lt;=20, "16–20 years", TRUE, "21–25 years")</f>
        <v>0–5 years</v>
      </c>
    </row>
    <row r="8" spans="1:8" x14ac:dyDescent="0.3">
      <c r="A8" t="s">
        <v>1912</v>
      </c>
      <c r="B8" t="s">
        <v>39</v>
      </c>
      <c r="C8">
        <v>2</v>
      </c>
      <c r="D8" s="9">
        <v>99.95</v>
      </c>
      <c r="E8" t="s">
        <v>1045</v>
      </c>
      <c r="F8" s="10">
        <v>75.11</v>
      </c>
      <c r="G8">
        <f>Meter[[#This Row],[EstimatedLoss_RM]]/0.8</f>
        <v>93.887499999999989</v>
      </c>
      <c r="H8" t="str" cm="1">
        <f t="array" ref="H8">_xlfn.IFS(C8&lt;=5, "0–5 years", C8&lt;=10, "6–10 years", C8&lt;=15, "11–15 years", C8&lt;=20, "16–20 years", TRUE, "21–25 years")</f>
        <v>0–5 years</v>
      </c>
    </row>
    <row r="9" spans="1:8" x14ac:dyDescent="0.3">
      <c r="A9" t="s">
        <v>1923</v>
      </c>
      <c r="B9" t="s">
        <v>43</v>
      </c>
      <c r="C9">
        <v>5</v>
      </c>
      <c r="D9" s="2">
        <v>99.94</v>
      </c>
      <c r="E9" t="s">
        <v>1041</v>
      </c>
      <c r="F9" s="11">
        <v>87.15</v>
      </c>
      <c r="G9">
        <f>Meter[[#This Row],[EstimatedLoss_RM]]/0.8</f>
        <v>108.9375</v>
      </c>
      <c r="H9" t="str" cm="1">
        <f t="array" ref="H9">_xlfn.IFS(C9&lt;=5, "0–5 years", C9&lt;=10, "6–10 years", C9&lt;=15, "11–15 years", C9&lt;=20, "16–20 years", TRUE, "21–25 years")</f>
        <v>0–5 years</v>
      </c>
    </row>
    <row r="10" spans="1:8" x14ac:dyDescent="0.3">
      <c r="A10" t="s">
        <v>1868</v>
      </c>
      <c r="B10" t="s">
        <v>50</v>
      </c>
      <c r="C10">
        <v>2</v>
      </c>
      <c r="D10" s="9">
        <v>99.93</v>
      </c>
      <c r="E10" t="s">
        <v>1045</v>
      </c>
      <c r="F10" s="10">
        <v>95.27</v>
      </c>
      <c r="G10">
        <f>Meter[[#This Row],[EstimatedLoss_RM]]/0.8</f>
        <v>119.08749999999999</v>
      </c>
      <c r="H10" t="str" cm="1">
        <f t="array" ref="H10">_xlfn.IFS(C10&lt;=5, "0–5 years", C10&lt;=10, "6–10 years", C10&lt;=15, "11–15 years", C10&lt;=20, "16–20 years", TRUE, "21–25 years")</f>
        <v>0–5 years</v>
      </c>
    </row>
    <row r="11" spans="1:8" x14ac:dyDescent="0.3">
      <c r="A11" t="s">
        <v>1810</v>
      </c>
      <c r="B11" t="s">
        <v>47</v>
      </c>
      <c r="C11">
        <v>1</v>
      </c>
      <c r="D11" s="2">
        <v>99.92</v>
      </c>
      <c r="E11" t="s">
        <v>1043</v>
      </c>
      <c r="F11" s="11">
        <v>107.61</v>
      </c>
      <c r="G11">
        <f>Meter[[#This Row],[EstimatedLoss_RM]]/0.8</f>
        <v>134.51249999999999</v>
      </c>
      <c r="H11" t="str" cm="1">
        <f t="array" ref="H11">_xlfn.IFS(C11&lt;=5, "0–5 years", C11&lt;=10, "6–10 years", C11&lt;=15, "11–15 years", C11&lt;=20, "16–20 years", TRUE, "21–25 years")</f>
        <v>0–5 years</v>
      </c>
    </row>
    <row r="12" spans="1:8" x14ac:dyDescent="0.3">
      <c r="A12" t="s">
        <v>1464</v>
      </c>
      <c r="B12" t="s">
        <v>47</v>
      </c>
      <c r="C12">
        <v>4</v>
      </c>
      <c r="D12" s="9">
        <v>99.91</v>
      </c>
      <c r="E12" t="s">
        <v>1043</v>
      </c>
      <c r="F12" s="10">
        <v>108.04</v>
      </c>
      <c r="G12">
        <f>Meter[[#This Row],[EstimatedLoss_RM]]/0.8</f>
        <v>135.05000000000001</v>
      </c>
      <c r="H12" t="str" cm="1">
        <f t="array" ref="H12">_xlfn.IFS(C12&lt;=5, "0–5 years", C12&lt;=10, "6–10 years", C12&lt;=15, "11–15 years", C12&lt;=20, "16–20 years", TRUE, "21–25 years")</f>
        <v>0–5 years</v>
      </c>
    </row>
    <row r="13" spans="1:8" x14ac:dyDescent="0.3">
      <c r="A13" t="s">
        <v>1537</v>
      </c>
      <c r="B13" t="s">
        <v>43</v>
      </c>
      <c r="C13">
        <v>3</v>
      </c>
      <c r="D13" s="2">
        <v>99.85</v>
      </c>
      <c r="E13" t="s">
        <v>1041</v>
      </c>
      <c r="F13" s="11">
        <v>112.35</v>
      </c>
      <c r="G13">
        <f>Meter[[#This Row],[EstimatedLoss_RM]]/0.8</f>
        <v>140.43749999999997</v>
      </c>
      <c r="H13" t="str" cm="1">
        <f t="array" ref="H13">_xlfn.IFS(C13&lt;=5, "0–5 years", C13&lt;=10, "6–10 years", C13&lt;=15, "11–15 years", C13&lt;=20, "16–20 years", TRUE, "21–25 years")</f>
        <v>0–5 years</v>
      </c>
    </row>
    <row r="14" spans="1:8" x14ac:dyDescent="0.3">
      <c r="A14" t="s">
        <v>1295</v>
      </c>
      <c r="B14" t="s">
        <v>49</v>
      </c>
      <c r="C14">
        <v>6</v>
      </c>
      <c r="D14" s="9">
        <v>99.84</v>
      </c>
      <c r="E14" t="s">
        <v>1045</v>
      </c>
      <c r="F14" s="10">
        <v>124.36</v>
      </c>
      <c r="G14">
        <f>Meter[[#This Row],[EstimatedLoss_RM]]/0.8</f>
        <v>155.44999999999999</v>
      </c>
      <c r="H14" t="str" cm="1">
        <f t="array" ref="H14">_xlfn.IFS(C14&lt;=5, "0–5 years", C14&lt;=10, "6–10 years", C14&lt;=15, "11–15 years", C14&lt;=20, "16–20 years", TRUE, "21–25 years")</f>
        <v>6–10 years</v>
      </c>
    </row>
    <row r="15" spans="1:8" x14ac:dyDescent="0.3">
      <c r="A15" t="s">
        <v>1222</v>
      </c>
      <c r="B15" t="s">
        <v>38</v>
      </c>
      <c r="C15">
        <v>9</v>
      </c>
      <c r="D15" s="2">
        <v>99.84</v>
      </c>
      <c r="E15" t="s">
        <v>1043</v>
      </c>
      <c r="F15" s="11">
        <v>120.41</v>
      </c>
      <c r="G15">
        <f>Meter[[#This Row],[EstimatedLoss_RM]]/0.8</f>
        <v>150.51249999999999</v>
      </c>
      <c r="H15" t="str" cm="1">
        <f t="array" ref="H15">_xlfn.IFS(C15&lt;=5, "0–5 years", C15&lt;=10, "6–10 years", C15&lt;=15, "11–15 years", C15&lt;=20, "16–20 years", TRUE, "21–25 years")</f>
        <v>6–10 years</v>
      </c>
    </row>
    <row r="16" spans="1:8" x14ac:dyDescent="0.3">
      <c r="A16" t="s">
        <v>1263</v>
      </c>
      <c r="B16" t="s">
        <v>40</v>
      </c>
      <c r="C16">
        <v>7</v>
      </c>
      <c r="D16" s="9">
        <v>99.83</v>
      </c>
      <c r="E16" t="s">
        <v>1045</v>
      </c>
      <c r="F16" s="10">
        <v>126.63</v>
      </c>
      <c r="G16">
        <f>Meter[[#This Row],[EstimatedLoss_RM]]/0.8</f>
        <v>158.28749999999999</v>
      </c>
      <c r="H16" t="str" cm="1">
        <f t="array" ref="H16">_xlfn.IFS(C16&lt;=5, "0–5 years", C16&lt;=10, "6–10 years", C16&lt;=15, "11–15 years", C16&lt;=20, "16–20 years", TRUE, "21–25 years")</f>
        <v>6–10 years</v>
      </c>
    </row>
    <row r="17" spans="1:8" x14ac:dyDescent="0.3">
      <c r="A17" t="s">
        <v>1349</v>
      </c>
      <c r="B17" t="s">
        <v>45</v>
      </c>
      <c r="C17">
        <v>2</v>
      </c>
      <c r="D17" s="2">
        <v>99.76</v>
      </c>
      <c r="E17" t="s">
        <v>1043</v>
      </c>
      <c r="F17" s="11">
        <v>129.91</v>
      </c>
      <c r="G17">
        <f>Meter[[#This Row],[EstimatedLoss_RM]]/0.8</f>
        <v>162.38749999999999</v>
      </c>
      <c r="H17" t="str" cm="1">
        <f t="array" ref="H17">_xlfn.IFS(C17&lt;=5, "0–5 years", C17&lt;=10, "6–10 years", C17&lt;=15, "11–15 years", C17&lt;=20, "16–20 years", TRUE, "21–25 years")</f>
        <v>0–5 years</v>
      </c>
    </row>
    <row r="18" spans="1:8" x14ac:dyDescent="0.3">
      <c r="A18" t="s">
        <v>1713</v>
      </c>
      <c r="B18" t="s">
        <v>41</v>
      </c>
      <c r="C18">
        <v>2</v>
      </c>
      <c r="D18" s="9">
        <v>99.69</v>
      </c>
      <c r="E18" t="s">
        <v>1043</v>
      </c>
      <c r="F18" s="10">
        <v>138.04</v>
      </c>
      <c r="G18">
        <f>Meter[[#This Row],[EstimatedLoss_RM]]/0.8</f>
        <v>172.54999999999998</v>
      </c>
      <c r="H18" t="str" cm="1">
        <f t="array" ref="H18">_xlfn.IFS(C18&lt;=5, "0–5 years", C18&lt;=10, "6–10 years", C18&lt;=15, "11–15 years", C18&lt;=20, "16–20 years", TRUE, "21–25 years")</f>
        <v>0–5 years</v>
      </c>
    </row>
    <row r="19" spans="1:8" x14ac:dyDescent="0.3">
      <c r="A19" t="s">
        <v>1937</v>
      </c>
      <c r="B19" t="s">
        <v>40</v>
      </c>
      <c r="C19">
        <v>3</v>
      </c>
      <c r="D19" s="2">
        <v>99.56</v>
      </c>
      <c r="E19" t="s">
        <v>1043</v>
      </c>
      <c r="F19" s="11">
        <v>149.66999999999999</v>
      </c>
      <c r="G19">
        <f>Meter[[#This Row],[EstimatedLoss_RM]]/0.8</f>
        <v>187.08749999999998</v>
      </c>
      <c r="H19" t="str" cm="1">
        <f t="array" ref="H19">_xlfn.IFS(C19&lt;=5, "0–5 years", C19&lt;=10, "6–10 years", C19&lt;=15, "11–15 years", C19&lt;=20, "16–20 years", TRUE, "21–25 years")</f>
        <v>0–5 years</v>
      </c>
    </row>
    <row r="20" spans="1:8" x14ac:dyDescent="0.3">
      <c r="A20" t="s">
        <v>1468</v>
      </c>
      <c r="B20" t="s">
        <v>50</v>
      </c>
      <c r="C20">
        <v>3</v>
      </c>
      <c r="D20" s="9">
        <v>99.54</v>
      </c>
      <c r="E20" t="s">
        <v>1045</v>
      </c>
      <c r="F20" s="10">
        <v>155.63</v>
      </c>
      <c r="G20">
        <f>Meter[[#This Row],[EstimatedLoss_RM]]/0.8</f>
        <v>194.53749999999999</v>
      </c>
      <c r="H20" t="str" cm="1">
        <f t="array" ref="H20">_xlfn.IFS(C20&lt;=5, "0–5 years", C20&lt;=10, "6–10 years", C20&lt;=15, "11–15 years", C20&lt;=20, "16–20 years", TRUE, "21–25 years")</f>
        <v>0–5 years</v>
      </c>
    </row>
    <row r="21" spans="1:8" x14ac:dyDescent="0.3">
      <c r="A21" t="s">
        <v>1277</v>
      </c>
      <c r="B21" t="s">
        <v>45</v>
      </c>
      <c r="C21">
        <v>7</v>
      </c>
      <c r="D21" s="2">
        <v>99.49</v>
      </c>
      <c r="E21" t="s">
        <v>1045</v>
      </c>
      <c r="F21" s="11">
        <v>162.86000000000001</v>
      </c>
      <c r="G21">
        <f>Meter[[#This Row],[EstimatedLoss_RM]]/0.8</f>
        <v>203.57500000000002</v>
      </c>
      <c r="H21" t="str" cm="1">
        <f t="array" ref="H21">_xlfn.IFS(C21&lt;=5, "0–5 years", C21&lt;=10, "6–10 years", C21&lt;=15, "11–15 years", C21&lt;=20, "16–20 years", TRUE, "21–25 years")</f>
        <v>6–10 years</v>
      </c>
    </row>
    <row r="22" spans="1:8" x14ac:dyDescent="0.3">
      <c r="A22" t="s">
        <v>1394</v>
      </c>
      <c r="B22" t="s">
        <v>43</v>
      </c>
      <c r="C22">
        <v>4</v>
      </c>
      <c r="D22" s="9">
        <v>99.35</v>
      </c>
      <c r="E22" t="s">
        <v>1045</v>
      </c>
      <c r="F22" s="10">
        <v>172.08</v>
      </c>
      <c r="G22">
        <f>Meter[[#This Row],[EstimatedLoss_RM]]/0.8</f>
        <v>215.1</v>
      </c>
      <c r="H22" t="str" cm="1">
        <f t="array" ref="H22">_xlfn.IFS(C22&lt;=5, "0–5 years", C22&lt;=10, "6–10 years", C22&lt;=15, "11–15 years", C22&lt;=20, "16–20 years", TRUE, "21–25 years")</f>
        <v>0–5 years</v>
      </c>
    </row>
    <row r="23" spans="1:8" x14ac:dyDescent="0.3">
      <c r="A23" t="s">
        <v>1684</v>
      </c>
      <c r="B23" t="s">
        <v>42</v>
      </c>
      <c r="C23">
        <v>5</v>
      </c>
      <c r="D23" s="2">
        <v>99.34</v>
      </c>
      <c r="E23" t="s">
        <v>1041</v>
      </c>
      <c r="F23" s="11">
        <v>178.61</v>
      </c>
      <c r="G23">
        <f>Meter[[#This Row],[EstimatedLoss_RM]]/0.8</f>
        <v>223.26250000000002</v>
      </c>
      <c r="H23" t="str" cm="1">
        <f t="array" ref="H23">_xlfn.IFS(C23&lt;=5, "0–5 years", C23&lt;=10, "6–10 years", C23&lt;=15, "11–15 years", C23&lt;=20, "16–20 years", TRUE, "21–25 years")</f>
        <v>0–5 years</v>
      </c>
    </row>
    <row r="24" spans="1:8" x14ac:dyDescent="0.3">
      <c r="A24" t="s">
        <v>1336</v>
      </c>
      <c r="B24" t="s">
        <v>44</v>
      </c>
      <c r="C24">
        <v>1</v>
      </c>
      <c r="D24" s="9">
        <v>99.3</v>
      </c>
      <c r="E24" t="s">
        <v>1043</v>
      </c>
      <c r="F24" s="10">
        <v>210.12</v>
      </c>
      <c r="G24">
        <f>Meter[[#This Row],[EstimatedLoss_RM]]/0.8</f>
        <v>262.64999999999998</v>
      </c>
      <c r="H24" t="str" cm="1">
        <f t="array" ref="H24">_xlfn.IFS(C24&lt;=5, "0–5 years", C24&lt;=10, "6–10 years", C24&lt;=15, "11–15 years", C24&lt;=20, "16–20 years", TRUE, "21–25 years")</f>
        <v>0–5 years</v>
      </c>
    </row>
    <row r="25" spans="1:8" x14ac:dyDescent="0.3">
      <c r="A25" t="s">
        <v>1282</v>
      </c>
      <c r="B25" t="s">
        <v>47</v>
      </c>
      <c r="C25">
        <v>1</v>
      </c>
      <c r="D25" s="2">
        <v>99.3</v>
      </c>
      <c r="E25" t="s">
        <v>1043</v>
      </c>
      <c r="F25" s="11">
        <v>221.06</v>
      </c>
      <c r="G25">
        <f>Meter[[#This Row],[EstimatedLoss_RM]]/0.8</f>
        <v>276.32499999999999</v>
      </c>
      <c r="H25" t="str" cm="1">
        <f t="array" ref="H25">_xlfn.IFS(C25&lt;=5, "0–5 years", C25&lt;=10, "6–10 years", C25&lt;=15, "11–15 years", C25&lt;=20, "16–20 years", TRUE, "21–25 years")</f>
        <v>0–5 years</v>
      </c>
    </row>
    <row r="26" spans="1:8" x14ac:dyDescent="0.3">
      <c r="A26" t="s">
        <v>1933</v>
      </c>
      <c r="B26" t="s">
        <v>41</v>
      </c>
      <c r="C26">
        <v>1</v>
      </c>
      <c r="D26" s="9">
        <v>99.24</v>
      </c>
      <c r="E26" t="s">
        <v>1041</v>
      </c>
      <c r="F26" s="10">
        <v>222.2</v>
      </c>
      <c r="G26">
        <f>Meter[[#This Row],[EstimatedLoss_RM]]/0.8</f>
        <v>277.74999999999994</v>
      </c>
      <c r="H26" t="str" cm="1">
        <f t="array" ref="H26">_xlfn.IFS(C26&lt;=5, "0–5 years", C26&lt;=10, "6–10 years", C26&lt;=15, "11–15 years", C26&lt;=20, "16–20 years", TRUE, "21–25 years")</f>
        <v>0–5 years</v>
      </c>
    </row>
    <row r="27" spans="1:8" x14ac:dyDescent="0.3">
      <c r="A27" t="s">
        <v>1918</v>
      </c>
      <c r="B27" t="s">
        <v>44</v>
      </c>
      <c r="C27">
        <v>6</v>
      </c>
      <c r="D27" s="2">
        <v>99.19</v>
      </c>
      <c r="E27" t="s">
        <v>1041</v>
      </c>
      <c r="F27" s="11">
        <v>223.95</v>
      </c>
      <c r="G27">
        <f>Meter[[#This Row],[EstimatedLoss_RM]]/0.8</f>
        <v>279.93749999999994</v>
      </c>
      <c r="H27" t="str" cm="1">
        <f t="array" ref="H27">_xlfn.IFS(C27&lt;=5, "0–5 years", C27&lt;=10, "6–10 years", C27&lt;=15, "11–15 years", C27&lt;=20, "16–20 years", TRUE, "21–25 years")</f>
        <v>6–10 years</v>
      </c>
    </row>
    <row r="28" spans="1:8" x14ac:dyDescent="0.3">
      <c r="A28" t="s">
        <v>1437</v>
      </c>
      <c r="B28" t="s">
        <v>39</v>
      </c>
      <c r="C28">
        <v>3</v>
      </c>
      <c r="D28" s="9">
        <v>99.16</v>
      </c>
      <c r="E28" t="s">
        <v>1045</v>
      </c>
      <c r="F28" s="10">
        <v>224.12</v>
      </c>
      <c r="G28">
        <f>Meter[[#This Row],[EstimatedLoss_RM]]/0.8</f>
        <v>280.14999999999998</v>
      </c>
      <c r="H28" t="str" cm="1">
        <f t="array" ref="H28">_xlfn.IFS(C28&lt;=5, "0–5 years", C28&lt;=10, "6–10 years", C28&lt;=15, "11–15 years", C28&lt;=20, "16–20 years", TRUE, "21–25 years")</f>
        <v>0–5 years</v>
      </c>
    </row>
    <row r="29" spans="1:8" x14ac:dyDescent="0.3">
      <c r="A29" t="s">
        <v>1734</v>
      </c>
      <c r="B29" t="s">
        <v>41</v>
      </c>
      <c r="C29">
        <v>3</v>
      </c>
      <c r="D29" s="2">
        <v>99.12</v>
      </c>
      <c r="E29" t="s">
        <v>1041</v>
      </c>
      <c r="F29" s="11">
        <v>235.39</v>
      </c>
      <c r="G29">
        <f>Meter[[#This Row],[EstimatedLoss_RM]]/0.8</f>
        <v>294.23749999999995</v>
      </c>
      <c r="H29" t="str" cm="1">
        <f t="array" ref="H29">_xlfn.IFS(C29&lt;=5, "0–5 years", C29&lt;=10, "6–10 years", C29&lt;=15, "11–15 years", C29&lt;=20, "16–20 years", TRUE, "21–25 years")</f>
        <v>0–5 years</v>
      </c>
    </row>
    <row r="30" spans="1:8" x14ac:dyDescent="0.3">
      <c r="A30" t="s">
        <v>1646</v>
      </c>
      <c r="B30" t="s">
        <v>43</v>
      </c>
      <c r="C30">
        <v>4</v>
      </c>
      <c r="D30" s="9">
        <v>99.11</v>
      </c>
      <c r="E30" t="s">
        <v>1045</v>
      </c>
      <c r="F30" s="10">
        <v>236.91</v>
      </c>
      <c r="G30">
        <f>Meter[[#This Row],[EstimatedLoss_RM]]/0.8</f>
        <v>296.13749999999999</v>
      </c>
      <c r="H30" t="str" cm="1">
        <f t="array" ref="H30">_xlfn.IFS(C30&lt;=5, "0–5 years", C30&lt;=10, "6–10 years", C30&lt;=15, "11–15 years", C30&lt;=20, "16–20 years", TRUE, "21–25 years")</f>
        <v>0–5 years</v>
      </c>
    </row>
    <row r="31" spans="1:8" x14ac:dyDescent="0.3">
      <c r="A31" t="s">
        <v>1758</v>
      </c>
      <c r="B31" t="s">
        <v>49</v>
      </c>
      <c r="C31">
        <v>3</v>
      </c>
      <c r="D31" s="2">
        <v>99.01</v>
      </c>
      <c r="E31" t="s">
        <v>1041</v>
      </c>
      <c r="F31" s="11">
        <v>238.5</v>
      </c>
      <c r="G31">
        <f>Meter[[#This Row],[EstimatedLoss_RM]]/0.8</f>
        <v>298.125</v>
      </c>
      <c r="H31" t="str" cm="1">
        <f t="array" ref="H31">_xlfn.IFS(C31&lt;=5, "0–5 years", C31&lt;=10, "6–10 years", C31&lt;=15, "11–15 years", C31&lt;=20, "16–20 years", TRUE, "21–25 years")</f>
        <v>0–5 years</v>
      </c>
    </row>
    <row r="32" spans="1:8" x14ac:dyDescent="0.3">
      <c r="A32" t="s">
        <v>1463</v>
      </c>
      <c r="B32" t="s">
        <v>44</v>
      </c>
      <c r="C32">
        <v>8</v>
      </c>
      <c r="D32" s="9">
        <v>98.92</v>
      </c>
      <c r="E32" t="s">
        <v>1045</v>
      </c>
      <c r="F32" s="10">
        <v>241.6</v>
      </c>
      <c r="G32">
        <f>Meter[[#This Row],[EstimatedLoss_RM]]/0.8</f>
        <v>302</v>
      </c>
      <c r="H32" t="str" cm="1">
        <f t="array" ref="H32">_xlfn.IFS(C32&lt;=5, "0–5 years", C32&lt;=10, "6–10 years", C32&lt;=15, "11–15 years", C32&lt;=20, "16–20 years", TRUE, "21–25 years")</f>
        <v>6–10 years</v>
      </c>
    </row>
    <row r="33" spans="1:8" x14ac:dyDescent="0.3">
      <c r="A33" t="s">
        <v>1838</v>
      </c>
      <c r="B33" t="s">
        <v>49</v>
      </c>
      <c r="C33">
        <v>3</v>
      </c>
      <c r="D33" s="2">
        <v>98.91</v>
      </c>
      <c r="E33" t="s">
        <v>1045</v>
      </c>
      <c r="F33" s="11">
        <v>255.43</v>
      </c>
      <c r="G33">
        <f>Meter[[#This Row],[EstimatedLoss_RM]]/0.8</f>
        <v>319.28749999999997</v>
      </c>
      <c r="H33" t="str" cm="1">
        <f t="array" ref="H33">_xlfn.IFS(C33&lt;=5, "0–5 years", C33&lt;=10, "6–10 years", C33&lt;=15, "11–15 years", C33&lt;=20, "16–20 years", TRUE, "21–25 years")</f>
        <v>0–5 years</v>
      </c>
    </row>
    <row r="34" spans="1:8" x14ac:dyDescent="0.3">
      <c r="A34" t="s">
        <v>1479</v>
      </c>
      <c r="B34" t="s">
        <v>45</v>
      </c>
      <c r="C34">
        <v>6</v>
      </c>
      <c r="D34" s="9">
        <v>98.86</v>
      </c>
      <c r="E34" t="s">
        <v>1045</v>
      </c>
      <c r="F34" s="10">
        <v>273.68</v>
      </c>
      <c r="G34">
        <f>Meter[[#This Row],[EstimatedLoss_RM]]/0.8</f>
        <v>342.09999999999997</v>
      </c>
      <c r="H34" t="str" cm="1">
        <f t="array" ref="H34">_xlfn.IFS(C34&lt;=5, "0–5 years", C34&lt;=10, "6–10 years", C34&lt;=15, "11–15 years", C34&lt;=20, "16–20 years", TRUE, "21–25 years")</f>
        <v>6–10 years</v>
      </c>
    </row>
    <row r="35" spans="1:8" x14ac:dyDescent="0.3">
      <c r="A35" t="s">
        <v>1798</v>
      </c>
      <c r="B35" t="s">
        <v>48</v>
      </c>
      <c r="C35">
        <v>11</v>
      </c>
      <c r="D35" s="2">
        <v>98.86</v>
      </c>
      <c r="E35" t="s">
        <v>1043</v>
      </c>
      <c r="F35" s="11">
        <v>264.39</v>
      </c>
      <c r="G35">
        <f>Meter[[#This Row],[EstimatedLoss_RM]]/0.8</f>
        <v>330.48749999999995</v>
      </c>
      <c r="H35" t="str" cm="1">
        <f t="array" ref="H35">_xlfn.IFS(C35&lt;=5, "0–5 years", C35&lt;=10, "6–10 years", C35&lt;=15, "11–15 years", C35&lt;=20, "16–20 years", TRUE, "21–25 years")</f>
        <v>11–15 years</v>
      </c>
    </row>
    <row r="36" spans="1:8" x14ac:dyDescent="0.3">
      <c r="A36" t="s">
        <v>1941</v>
      </c>
      <c r="B36" t="s">
        <v>42</v>
      </c>
      <c r="C36">
        <v>4</v>
      </c>
      <c r="D36" s="9">
        <v>98.81</v>
      </c>
      <c r="E36" t="s">
        <v>1043</v>
      </c>
      <c r="F36" s="10">
        <v>273.97000000000003</v>
      </c>
      <c r="G36">
        <f>Meter[[#This Row],[EstimatedLoss_RM]]/0.8</f>
        <v>342.46250000000003</v>
      </c>
      <c r="H36" t="str" cm="1">
        <f t="array" ref="H36">_xlfn.IFS(C36&lt;=5, "0–5 years", C36&lt;=10, "6–10 years", C36&lt;=15, "11–15 years", C36&lt;=20, "16–20 years", TRUE, "21–25 years")</f>
        <v>0–5 years</v>
      </c>
    </row>
    <row r="37" spans="1:8" x14ac:dyDescent="0.3">
      <c r="A37" t="s">
        <v>1905</v>
      </c>
      <c r="B37" t="s">
        <v>39</v>
      </c>
      <c r="C37">
        <v>6</v>
      </c>
      <c r="D37" s="2">
        <v>98.7</v>
      </c>
      <c r="E37" t="s">
        <v>1041</v>
      </c>
      <c r="F37" s="11">
        <v>276.82</v>
      </c>
      <c r="G37">
        <f>Meter[[#This Row],[EstimatedLoss_RM]]/0.8</f>
        <v>346.02499999999998</v>
      </c>
      <c r="H37" t="str" cm="1">
        <f t="array" ref="H37">_xlfn.IFS(C37&lt;=5, "0–5 years", C37&lt;=10, "6–10 years", C37&lt;=15, "11–15 years", C37&lt;=20, "16–20 years", TRUE, "21–25 years")</f>
        <v>6–10 years</v>
      </c>
    </row>
    <row r="38" spans="1:8" x14ac:dyDescent="0.3">
      <c r="A38" t="s">
        <v>1720</v>
      </c>
      <c r="B38" t="s">
        <v>49</v>
      </c>
      <c r="C38">
        <v>7</v>
      </c>
      <c r="D38" s="9">
        <v>98.7</v>
      </c>
      <c r="E38" t="s">
        <v>1045</v>
      </c>
      <c r="F38" s="10">
        <v>286.38</v>
      </c>
      <c r="G38">
        <f>Meter[[#This Row],[EstimatedLoss_RM]]/0.8</f>
        <v>357.97499999999997</v>
      </c>
      <c r="H38" t="str" cm="1">
        <f t="array" ref="H38">_xlfn.IFS(C38&lt;=5, "0–5 years", C38&lt;=10, "6–10 years", C38&lt;=15, "11–15 years", C38&lt;=20, "16–20 years", TRUE, "21–25 years")</f>
        <v>6–10 years</v>
      </c>
    </row>
    <row r="39" spans="1:8" x14ac:dyDescent="0.3">
      <c r="A39" t="s">
        <v>1294</v>
      </c>
      <c r="B39" t="s">
        <v>47</v>
      </c>
      <c r="C39">
        <v>3</v>
      </c>
      <c r="D39" s="2">
        <v>98.64</v>
      </c>
      <c r="E39" t="s">
        <v>1045</v>
      </c>
      <c r="F39" s="11">
        <v>289.37</v>
      </c>
      <c r="G39">
        <f>Meter[[#This Row],[EstimatedLoss_RM]]/0.8</f>
        <v>361.71249999999998</v>
      </c>
      <c r="H39" t="str" cm="1">
        <f t="array" ref="H39">_xlfn.IFS(C39&lt;=5, "0–5 years", C39&lt;=10, "6–10 years", C39&lt;=15, "11–15 years", C39&lt;=20, "16–20 years", TRUE, "21–25 years")</f>
        <v>0–5 years</v>
      </c>
    </row>
    <row r="40" spans="1:8" x14ac:dyDescent="0.3">
      <c r="A40" t="s">
        <v>1452</v>
      </c>
      <c r="B40" t="s">
        <v>53</v>
      </c>
      <c r="C40">
        <v>1</v>
      </c>
      <c r="D40" s="9">
        <v>98.63</v>
      </c>
      <c r="E40" t="s">
        <v>1045</v>
      </c>
      <c r="F40" s="10">
        <v>310.11</v>
      </c>
      <c r="G40">
        <f>Meter[[#This Row],[EstimatedLoss_RM]]/0.8</f>
        <v>387.63749999999999</v>
      </c>
      <c r="H40" t="str" cm="1">
        <f t="array" ref="H40">_xlfn.IFS(C40&lt;=5, "0–5 years", C40&lt;=10, "6–10 years", C40&lt;=15, "11–15 years", C40&lt;=20, "16–20 years", TRUE, "21–25 years")</f>
        <v>0–5 years</v>
      </c>
    </row>
    <row r="41" spans="1:8" x14ac:dyDescent="0.3">
      <c r="A41" t="s">
        <v>1414</v>
      </c>
      <c r="B41" t="s">
        <v>47</v>
      </c>
      <c r="C41">
        <v>1</v>
      </c>
      <c r="D41" s="2">
        <v>98.6</v>
      </c>
      <c r="E41" t="s">
        <v>1045</v>
      </c>
      <c r="F41" s="11">
        <v>311.62</v>
      </c>
      <c r="G41">
        <f>Meter[[#This Row],[EstimatedLoss_RM]]/0.8</f>
        <v>389.52499999999998</v>
      </c>
      <c r="H41" t="str" cm="1">
        <f t="array" ref="H41">_xlfn.IFS(C41&lt;=5, "0–5 years", C41&lt;=10, "6–10 years", C41&lt;=15, "11–15 years", C41&lt;=20, "16–20 years", TRUE, "21–25 years")</f>
        <v>0–5 years</v>
      </c>
    </row>
    <row r="42" spans="1:8" x14ac:dyDescent="0.3">
      <c r="A42" t="s">
        <v>1888</v>
      </c>
      <c r="B42" t="s">
        <v>53</v>
      </c>
      <c r="C42">
        <v>1</v>
      </c>
      <c r="D42" s="9">
        <v>98.58</v>
      </c>
      <c r="E42" t="s">
        <v>1043</v>
      </c>
      <c r="F42" s="10">
        <v>316.41000000000003</v>
      </c>
      <c r="G42">
        <f>Meter[[#This Row],[EstimatedLoss_RM]]/0.8</f>
        <v>395.51249999999999</v>
      </c>
      <c r="H42" t="str" cm="1">
        <f t="array" ref="H42">_xlfn.IFS(C42&lt;=5, "0–5 years", C42&lt;=10, "6–10 years", C42&lt;=15, "11–15 years", C42&lt;=20, "16–20 years", TRUE, "21–25 years")</f>
        <v>0–5 years</v>
      </c>
    </row>
    <row r="43" spans="1:8" x14ac:dyDescent="0.3">
      <c r="A43" t="s">
        <v>1722</v>
      </c>
      <c r="B43" t="s">
        <v>53</v>
      </c>
      <c r="C43">
        <v>5</v>
      </c>
      <c r="D43" s="2">
        <v>98.54</v>
      </c>
      <c r="E43" t="s">
        <v>1043</v>
      </c>
      <c r="F43" s="11">
        <v>319.11</v>
      </c>
      <c r="G43">
        <f>Meter[[#This Row],[EstimatedLoss_RM]]/0.8</f>
        <v>398.88749999999999</v>
      </c>
      <c r="H43" t="str" cm="1">
        <f t="array" ref="H43">_xlfn.IFS(C43&lt;=5, "0–5 years", C43&lt;=10, "6–10 years", C43&lt;=15, "11–15 years", C43&lt;=20, "16–20 years", TRUE, "21–25 years")</f>
        <v>0–5 years</v>
      </c>
    </row>
    <row r="44" spans="1:8" x14ac:dyDescent="0.3">
      <c r="A44" t="s">
        <v>1415</v>
      </c>
      <c r="B44" t="s">
        <v>42</v>
      </c>
      <c r="C44">
        <v>6</v>
      </c>
      <c r="D44" s="9">
        <v>98.5</v>
      </c>
      <c r="E44" t="s">
        <v>1041</v>
      </c>
      <c r="F44" s="10">
        <v>321.32</v>
      </c>
      <c r="G44">
        <f>Meter[[#This Row],[EstimatedLoss_RM]]/0.8</f>
        <v>401.65</v>
      </c>
      <c r="H44" t="str" cm="1">
        <f t="array" ref="H44">_xlfn.IFS(C44&lt;=5, "0–5 years", C44&lt;=10, "6–10 years", C44&lt;=15, "11–15 years", C44&lt;=20, "16–20 years", TRUE, "21–25 years")</f>
        <v>6–10 years</v>
      </c>
    </row>
    <row r="45" spans="1:8" x14ac:dyDescent="0.3">
      <c r="A45" t="s">
        <v>1583</v>
      </c>
      <c r="B45" t="s">
        <v>53</v>
      </c>
      <c r="C45">
        <v>3</v>
      </c>
      <c r="D45" s="2">
        <v>98.47</v>
      </c>
      <c r="E45" t="s">
        <v>1043</v>
      </c>
      <c r="F45" s="11">
        <v>321.61</v>
      </c>
      <c r="G45">
        <f>Meter[[#This Row],[EstimatedLoss_RM]]/0.8</f>
        <v>402.01249999999999</v>
      </c>
      <c r="H45" t="str" cm="1">
        <f t="array" ref="H45">_xlfn.IFS(C45&lt;=5, "0–5 years", C45&lt;=10, "6–10 years", C45&lt;=15, "11–15 years", C45&lt;=20, "16–20 years", TRUE, "21–25 years")</f>
        <v>0–5 years</v>
      </c>
    </row>
    <row r="46" spans="1:8" x14ac:dyDescent="0.3">
      <c r="A46" t="s">
        <v>1631</v>
      </c>
      <c r="B46" t="s">
        <v>44</v>
      </c>
      <c r="C46">
        <v>3</v>
      </c>
      <c r="D46" s="9">
        <v>98.46</v>
      </c>
      <c r="E46" t="s">
        <v>1045</v>
      </c>
      <c r="F46" s="10">
        <v>327.27</v>
      </c>
      <c r="G46">
        <f>Meter[[#This Row],[EstimatedLoss_RM]]/0.8</f>
        <v>409.08749999999998</v>
      </c>
      <c r="H46" t="str" cm="1">
        <f t="array" ref="H46">_xlfn.IFS(C46&lt;=5, "0–5 years", C46&lt;=10, "6–10 years", C46&lt;=15, "11–15 years", C46&lt;=20, "16–20 years", TRUE, "21–25 years")</f>
        <v>0–5 years</v>
      </c>
    </row>
    <row r="47" spans="1:8" x14ac:dyDescent="0.3">
      <c r="A47" t="s">
        <v>1748</v>
      </c>
      <c r="B47" t="s">
        <v>40</v>
      </c>
      <c r="C47">
        <v>2</v>
      </c>
      <c r="D47" s="2">
        <v>98.41</v>
      </c>
      <c r="E47" t="s">
        <v>1041</v>
      </c>
      <c r="F47" s="11">
        <v>329.8</v>
      </c>
      <c r="G47">
        <f>Meter[[#This Row],[EstimatedLoss_RM]]/0.8</f>
        <v>412.25</v>
      </c>
      <c r="H47" t="str" cm="1">
        <f t="array" ref="H47">_xlfn.IFS(C47&lt;=5, "0–5 years", C47&lt;=10, "6–10 years", C47&lt;=15, "11–15 years", C47&lt;=20, "16–20 years", TRUE, "21–25 years")</f>
        <v>0–5 years</v>
      </c>
    </row>
    <row r="48" spans="1:8" x14ac:dyDescent="0.3">
      <c r="A48" t="s">
        <v>1421</v>
      </c>
      <c r="B48" t="s">
        <v>39</v>
      </c>
      <c r="C48">
        <v>10</v>
      </c>
      <c r="D48" s="9">
        <v>98.38</v>
      </c>
      <c r="E48" t="s">
        <v>1041</v>
      </c>
      <c r="F48" s="10">
        <v>331.93</v>
      </c>
      <c r="G48">
        <f>Meter[[#This Row],[EstimatedLoss_RM]]/0.8</f>
        <v>414.91249999999997</v>
      </c>
      <c r="H48" t="str" cm="1">
        <f t="array" ref="H48">_xlfn.IFS(C48&lt;=5, "0–5 years", C48&lt;=10, "6–10 years", C48&lt;=15, "11–15 years", C48&lt;=20, "16–20 years", TRUE, "21–25 years")</f>
        <v>6–10 years</v>
      </c>
    </row>
    <row r="49" spans="1:8" x14ac:dyDescent="0.3">
      <c r="A49" t="s">
        <v>1461</v>
      </c>
      <c r="B49" t="s">
        <v>50</v>
      </c>
      <c r="C49">
        <v>5</v>
      </c>
      <c r="D49" s="2">
        <v>98.36</v>
      </c>
      <c r="E49" t="s">
        <v>1045</v>
      </c>
      <c r="F49" s="11">
        <v>339.43</v>
      </c>
      <c r="G49">
        <f>Meter[[#This Row],[EstimatedLoss_RM]]/0.8</f>
        <v>424.28749999999997</v>
      </c>
      <c r="H49" t="str" cm="1">
        <f t="array" ref="H49">_xlfn.IFS(C49&lt;=5, "0–5 years", C49&lt;=10, "6–10 years", C49&lt;=15, "11–15 years", C49&lt;=20, "16–20 years", TRUE, "21–25 years")</f>
        <v>0–5 years</v>
      </c>
    </row>
    <row r="50" spans="1:8" x14ac:dyDescent="0.3">
      <c r="A50" t="s">
        <v>1102</v>
      </c>
      <c r="B50" t="s">
        <v>48</v>
      </c>
      <c r="C50">
        <v>4</v>
      </c>
      <c r="D50" s="9">
        <v>98.35</v>
      </c>
      <c r="E50" t="s">
        <v>1041</v>
      </c>
      <c r="F50" s="10">
        <v>343.74</v>
      </c>
      <c r="G50">
        <f>Meter[[#This Row],[EstimatedLoss_RM]]/0.8</f>
        <v>429.67500000000001</v>
      </c>
      <c r="H50" t="str" cm="1">
        <f t="array" ref="H50">_xlfn.IFS(C50&lt;=5, "0–5 years", C50&lt;=10, "6–10 years", C50&lt;=15, "11–15 years", C50&lt;=20, "16–20 years", TRUE, "21–25 years")</f>
        <v>0–5 years</v>
      </c>
    </row>
    <row r="51" spans="1:8" x14ac:dyDescent="0.3">
      <c r="A51" t="s">
        <v>1516</v>
      </c>
      <c r="B51" t="s">
        <v>43</v>
      </c>
      <c r="C51">
        <v>6</v>
      </c>
      <c r="D51" s="2">
        <v>98.33</v>
      </c>
      <c r="E51" t="s">
        <v>1041</v>
      </c>
      <c r="F51" s="11">
        <v>361.21</v>
      </c>
      <c r="G51">
        <f>Meter[[#This Row],[EstimatedLoss_RM]]/0.8</f>
        <v>451.51249999999993</v>
      </c>
      <c r="H51" t="str" cm="1">
        <f t="array" ref="H51">_xlfn.IFS(C51&lt;=5, "0–5 years", C51&lt;=10, "6–10 years", C51&lt;=15, "11–15 years", C51&lt;=20, "16–20 years", TRUE, "21–25 years")</f>
        <v>6–10 years</v>
      </c>
    </row>
    <row r="52" spans="1:8" x14ac:dyDescent="0.3">
      <c r="A52" t="s">
        <v>1291</v>
      </c>
      <c r="B52" t="s">
        <v>38</v>
      </c>
      <c r="C52">
        <v>8</v>
      </c>
      <c r="D52" s="9">
        <v>98.33</v>
      </c>
      <c r="E52" t="s">
        <v>1045</v>
      </c>
      <c r="F52" s="10">
        <v>358.02</v>
      </c>
      <c r="G52">
        <f>Meter[[#This Row],[EstimatedLoss_RM]]/0.8</f>
        <v>447.52499999999998</v>
      </c>
      <c r="H52" t="str" cm="1">
        <f t="array" ref="H52">_xlfn.IFS(C52&lt;=5, "0–5 years", C52&lt;=10, "6–10 years", C52&lt;=15, "11–15 years", C52&lt;=20, "16–20 years", TRUE, "21–25 years")</f>
        <v>6–10 years</v>
      </c>
    </row>
    <row r="53" spans="1:8" x14ac:dyDescent="0.3">
      <c r="A53" t="s">
        <v>1440</v>
      </c>
      <c r="B53" t="s">
        <v>52</v>
      </c>
      <c r="C53">
        <v>6</v>
      </c>
      <c r="D53" s="2">
        <v>98.31</v>
      </c>
      <c r="E53" t="s">
        <v>1043</v>
      </c>
      <c r="F53" s="11">
        <v>365.97</v>
      </c>
      <c r="G53">
        <f>Meter[[#This Row],[EstimatedLoss_RM]]/0.8</f>
        <v>457.46250000000003</v>
      </c>
      <c r="H53" t="str" cm="1">
        <f t="array" ref="H53">_xlfn.IFS(C53&lt;=5, "0–5 years", C53&lt;=10, "6–10 years", C53&lt;=15, "11–15 years", C53&lt;=20, "16–20 years", TRUE, "21–25 years")</f>
        <v>6–10 years</v>
      </c>
    </row>
    <row r="54" spans="1:8" x14ac:dyDescent="0.3">
      <c r="A54" t="s">
        <v>1417</v>
      </c>
      <c r="B54" t="s">
        <v>42</v>
      </c>
      <c r="C54">
        <v>10</v>
      </c>
      <c r="D54" s="9">
        <v>98.31</v>
      </c>
      <c r="E54" t="s">
        <v>1041</v>
      </c>
      <c r="F54" s="10">
        <v>362.6</v>
      </c>
      <c r="G54">
        <f>Meter[[#This Row],[EstimatedLoss_RM]]/0.8</f>
        <v>453.25</v>
      </c>
      <c r="H54" t="str" cm="1">
        <f t="array" ref="H54">_xlfn.IFS(C54&lt;=5, "0–5 years", C54&lt;=10, "6–10 years", C54&lt;=15, "11–15 years", C54&lt;=20, "16–20 years", TRUE, "21–25 years")</f>
        <v>6–10 years</v>
      </c>
    </row>
    <row r="55" spans="1:8" x14ac:dyDescent="0.3">
      <c r="A55" t="s">
        <v>1216</v>
      </c>
      <c r="B55" t="s">
        <v>52</v>
      </c>
      <c r="C55">
        <v>1</v>
      </c>
      <c r="D55" s="2">
        <v>98.28</v>
      </c>
      <c r="E55" t="s">
        <v>1041</v>
      </c>
      <c r="F55" s="11">
        <v>375.08</v>
      </c>
      <c r="G55">
        <f>Meter[[#This Row],[EstimatedLoss_RM]]/0.8</f>
        <v>468.84999999999997</v>
      </c>
      <c r="H55" t="str" cm="1">
        <f t="array" ref="H55">_xlfn.IFS(C55&lt;=5, "0–5 years", C55&lt;=10, "6–10 years", C55&lt;=15, "11–15 years", C55&lt;=20, "16–20 years", TRUE, "21–25 years")</f>
        <v>0–5 years</v>
      </c>
    </row>
    <row r="56" spans="1:8" x14ac:dyDescent="0.3">
      <c r="A56" t="s">
        <v>1910</v>
      </c>
      <c r="B56" t="s">
        <v>40</v>
      </c>
      <c r="C56">
        <v>1</v>
      </c>
      <c r="D56" s="9">
        <v>98.27</v>
      </c>
      <c r="E56" t="s">
        <v>1043</v>
      </c>
      <c r="F56" s="10">
        <v>380.94</v>
      </c>
      <c r="G56">
        <f>Meter[[#This Row],[EstimatedLoss_RM]]/0.8</f>
        <v>476.17499999999995</v>
      </c>
      <c r="H56" t="str" cm="1">
        <f t="array" ref="H56">_xlfn.IFS(C56&lt;=5, "0–5 years", C56&lt;=10, "6–10 years", C56&lt;=15, "11–15 years", C56&lt;=20, "16–20 years", TRUE, "21–25 years")</f>
        <v>0–5 years</v>
      </c>
    </row>
    <row r="57" spans="1:8" x14ac:dyDescent="0.3">
      <c r="A57" t="s">
        <v>1228</v>
      </c>
      <c r="B57" t="s">
        <v>47</v>
      </c>
      <c r="C57">
        <v>3</v>
      </c>
      <c r="D57" s="2">
        <v>98.23</v>
      </c>
      <c r="E57" t="s">
        <v>1045</v>
      </c>
      <c r="F57" s="11">
        <v>390.78</v>
      </c>
      <c r="G57">
        <f>Meter[[#This Row],[EstimatedLoss_RM]]/0.8</f>
        <v>488.47499999999997</v>
      </c>
      <c r="H57" t="str" cm="1">
        <f t="array" ref="H57">_xlfn.IFS(C57&lt;=5, "0–5 years", C57&lt;=10, "6–10 years", C57&lt;=15, "11–15 years", C57&lt;=20, "16–20 years", TRUE, "21–25 years")</f>
        <v>0–5 years</v>
      </c>
    </row>
    <row r="58" spans="1:8" x14ac:dyDescent="0.3">
      <c r="A58" t="s">
        <v>1778</v>
      </c>
      <c r="B58" t="s">
        <v>52</v>
      </c>
      <c r="C58">
        <v>2</v>
      </c>
      <c r="D58" s="9">
        <v>98.15</v>
      </c>
      <c r="E58" t="s">
        <v>1043</v>
      </c>
      <c r="F58" s="10">
        <v>401.03</v>
      </c>
      <c r="G58">
        <f>Meter[[#This Row],[EstimatedLoss_RM]]/0.8</f>
        <v>501.28749999999997</v>
      </c>
      <c r="H58" t="str" cm="1">
        <f t="array" ref="H58">_xlfn.IFS(C58&lt;=5, "0–5 years", C58&lt;=10, "6–10 years", C58&lt;=15, "11–15 years", C58&lt;=20, "16–20 years", TRUE, "21–25 years")</f>
        <v>0–5 years</v>
      </c>
    </row>
    <row r="59" spans="1:8" x14ac:dyDescent="0.3">
      <c r="A59" t="s">
        <v>1573</v>
      </c>
      <c r="B59" t="s">
        <v>39</v>
      </c>
      <c r="C59">
        <v>3</v>
      </c>
      <c r="D59" s="2">
        <v>98.08</v>
      </c>
      <c r="E59" t="s">
        <v>1041</v>
      </c>
      <c r="F59" s="11">
        <v>402.19</v>
      </c>
      <c r="G59">
        <f>Meter[[#This Row],[EstimatedLoss_RM]]/0.8</f>
        <v>502.73749999999995</v>
      </c>
      <c r="H59" t="str" cm="1">
        <f t="array" ref="H59">_xlfn.IFS(C59&lt;=5, "0–5 years", C59&lt;=10, "6–10 years", C59&lt;=15, "11–15 years", C59&lt;=20, "16–20 years", TRUE, "21–25 years")</f>
        <v>0–5 years</v>
      </c>
    </row>
    <row r="60" spans="1:8" x14ac:dyDescent="0.3">
      <c r="A60" t="s">
        <v>1196</v>
      </c>
      <c r="B60" t="s">
        <v>39</v>
      </c>
      <c r="C60">
        <v>1</v>
      </c>
      <c r="D60" s="9">
        <v>98.06</v>
      </c>
      <c r="E60" t="s">
        <v>1045</v>
      </c>
      <c r="F60" s="10">
        <v>407.59</v>
      </c>
      <c r="G60">
        <f>Meter[[#This Row],[EstimatedLoss_RM]]/0.8</f>
        <v>509.48749999999995</v>
      </c>
      <c r="H60" t="str" cm="1">
        <f t="array" ref="H60">_xlfn.IFS(C60&lt;=5, "0–5 years", C60&lt;=10, "6–10 years", C60&lt;=15, "11–15 years", C60&lt;=20, "16–20 years", TRUE, "21–25 years")</f>
        <v>0–5 years</v>
      </c>
    </row>
    <row r="61" spans="1:8" x14ac:dyDescent="0.3">
      <c r="A61" t="s">
        <v>1372</v>
      </c>
      <c r="B61" t="s">
        <v>47</v>
      </c>
      <c r="C61">
        <v>3</v>
      </c>
      <c r="D61" s="2">
        <v>98.06</v>
      </c>
      <c r="E61" t="s">
        <v>1045</v>
      </c>
      <c r="F61" s="11">
        <v>407.52</v>
      </c>
      <c r="G61">
        <f>Meter[[#This Row],[EstimatedLoss_RM]]/0.8</f>
        <v>509.4</v>
      </c>
      <c r="H61" t="str" cm="1">
        <f t="array" ref="H61">_xlfn.IFS(C61&lt;=5, "0–5 years", C61&lt;=10, "6–10 years", C61&lt;=15, "11–15 years", C61&lt;=20, "16–20 years", TRUE, "21–25 years")</f>
        <v>0–5 years</v>
      </c>
    </row>
    <row r="62" spans="1:8" x14ac:dyDescent="0.3">
      <c r="A62" t="s">
        <v>1817</v>
      </c>
      <c r="B62" t="s">
        <v>48</v>
      </c>
      <c r="C62">
        <v>3</v>
      </c>
      <c r="D62" s="9">
        <v>98.04</v>
      </c>
      <c r="E62" t="s">
        <v>1045</v>
      </c>
      <c r="F62" s="10">
        <v>425.68</v>
      </c>
      <c r="G62">
        <f>Meter[[#This Row],[EstimatedLoss_RM]]/0.8</f>
        <v>532.1</v>
      </c>
      <c r="H62" t="str" cm="1">
        <f t="array" ref="H62">_xlfn.IFS(C62&lt;=5, "0–5 years", C62&lt;=10, "6–10 years", C62&lt;=15, "11–15 years", C62&lt;=20, "16–20 years", TRUE, "21–25 years")</f>
        <v>0–5 years</v>
      </c>
    </row>
    <row r="63" spans="1:8" x14ac:dyDescent="0.3">
      <c r="A63" t="s">
        <v>1049</v>
      </c>
      <c r="B63" t="s">
        <v>42</v>
      </c>
      <c r="C63">
        <v>8</v>
      </c>
      <c r="D63" s="2">
        <v>97.96</v>
      </c>
      <c r="E63" t="s">
        <v>1045</v>
      </c>
      <c r="F63" s="11">
        <v>427.6</v>
      </c>
      <c r="G63">
        <f>Meter[[#This Row],[EstimatedLoss_RM]]/0.8</f>
        <v>534.5</v>
      </c>
      <c r="H63" t="str" cm="1">
        <f t="array" ref="H63">_xlfn.IFS(C63&lt;=5, "0–5 years", C63&lt;=10, "6–10 years", C63&lt;=15, "11–15 years", C63&lt;=20, "16–20 years", TRUE, "21–25 years")</f>
        <v>6–10 years</v>
      </c>
    </row>
    <row r="64" spans="1:8" x14ac:dyDescent="0.3">
      <c r="A64" t="s">
        <v>1546</v>
      </c>
      <c r="B64" t="s">
        <v>45</v>
      </c>
      <c r="C64">
        <v>3</v>
      </c>
      <c r="D64" s="9">
        <v>97.93</v>
      </c>
      <c r="E64" t="s">
        <v>1045</v>
      </c>
      <c r="F64" s="10">
        <v>441.84</v>
      </c>
      <c r="G64">
        <f>Meter[[#This Row],[EstimatedLoss_RM]]/0.8</f>
        <v>552.29999999999995</v>
      </c>
      <c r="H64" t="str" cm="1">
        <f t="array" ref="H64">_xlfn.IFS(C64&lt;=5, "0–5 years", C64&lt;=10, "6–10 years", C64&lt;=15, "11–15 years", C64&lt;=20, "16–20 years", TRUE, "21–25 years")</f>
        <v>0–5 years</v>
      </c>
    </row>
    <row r="65" spans="1:8" x14ac:dyDescent="0.3">
      <c r="A65" t="s">
        <v>1361</v>
      </c>
      <c r="B65" t="s">
        <v>41</v>
      </c>
      <c r="C65">
        <v>2</v>
      </c>
      <c r="D65" s="2">
        <v>97.85</v>
      </c>
      <c r="E65" t="s">
        <v>1041</v>
      </c>
      <c r="F65" s="11">
        <v>470.42</v>
      </c>
      <c r="G65">
        <f>Meter[[#This Row],[EstimatedLoss_RM]]/0.8</f>
        <v>588.02499999999998</v>
      </c>
      <c r="H65" t="str" cm="1">
        <f t="array" ref="H65">_xlfn.IFS(C65&lt;=5, "0–5 years", C65&lt;=10, "6–10 years", C65&lt;=15, "11–15 years", C65&lt;=20, "16–20 years", TRUE, "21–25 years")</f>
        <v>0–5 years</v>
      </c>
    </row>
    <row r="66" spans="1:8" x14ac:dyDescent="0.3">
      <c r="A66" t="s">
        <v>1739</v>
      </c>
      <c r="B66" t="s">
        <v>42</v>
      </c>
      <c r="C66">
        <v>2</v>
      </c>
      <c r="D66" s="9">
        <v>97.85</v>
      </c>
      <c r="E66" t="s">
        <v>1041</v>
      </c>
      <c r="F66" s="10">
        <v>470.97</v>
      </c>
      <c r="G66">
        <f>Meter[[#This Row],[EstimatedLoss_RM]]/0.8</f>
        <v>588.71249999999998</v>
      </c>
      <c r="H66" t="str" cm="1">
        <f t="array" ref="H66">_xlfn.IFS(C66&lt;=5, "0–5 years", C66&lt;=10, "6–10 years", C66&lt;=15, "11–15 years", C66&lt;=20, "16–20 years", TRUE, "21–25 years")</f>
        <v>0–5 years</v>
      </c>
    </row>
    <row r="67" spans="1:8" x14ac:dyDescent="0.3">
      <c r="A67" t="s">
        <v>1660</v>
      </c>
      <c r="B67" t="s">
        <v>52</v>
      </c>
      <c r="C67">
        <v>4</v>
      </c>
      <c r="D67" s="2">
        <v>97.85</v>
      </c>
      <c r="E67" t="s">
        <v>1041</v>
      </c>
      <c r="F67" s="11">
        <v>481.03</v>
      </c>
      <c r="G67">
        <f>Meter[[#This Row],[EstimatedLoss_RM]]/0.8</f>
        <v>601.28749999999991</v>
      </c>
      <c r="H67" t="str" cm="1">
        <f t="array" ref="H67">_xlfn.IFS(C67&lt;=5, "0–5 years", C67&lt;=10, "6–10 years", C67&lt;=15, "11–15 years", C67&lt;=20, "16–20 years", TRUE, "21–25 years")</f>
        <v>0–5 years</v>
      </c>
    </row>
    <row r="68" spans="1:8" x14ac:dyDescent="0.3">
      <c r="A68" t="s">
        <v>1741</v>
      </c>
      <c r="B68" t="s">
        <v>40</v>
      </c>
      <c r="C68">
        <v>5</v>
      </c>
      <c r="D68" s="9">
        <v>97.85</v>
      </c>
      <c r="E68" t="s">
        <v>1045</v>
      </c>
      <c r="F68" s="10">
        <v>469.22</v>
      </c>
      <c r="G68">
        <f>Meter[[#This Row],[EstimatedLoss_RM]]/0.8</f>
        <v>586.52499999999998</v>
      </c>
      <c r="H68" t="str" cm="1">
        <f t="array" ref="H68">_xlfn.IFS(C68&lt;=5, "0–5 years", C68&lt;=10, "6–10 years", C68&lt;=15, "11–15 years", C68&lt;=20, "16–20 years", TRUE, "21–25 years")</f>
        <v>0–5 years</v>
      </c>
    </row>
    <row r="69" spans="1:8" x14ac:dyDescent="0.3">
      <c r="A69" t="s">
        <v>1694</v>
      </c>
      <c r="B69" t="s">
        <v>39</v>
      </c>
      <c r="C69">
        <v>6</v>
      </c>
      <c r="D69" s="2">
        <v>97.85</v>
      </c>
      <c r="E69" t="s">
        <v>1045</v>
      </c>
      <c r="F69" s="11">
        <v>451.3</v>
      </c>
      <c r="G69">
        <f>Meter[[#This Row],[EstimatedLoss_RM]]/0.8</f>
        <v>564.125</v>
      </c>
      <c r="H69" t="str" cm="1">
        <f t="array" ref="H69">_xlfn.IFS(C69&lt;=5, "0–5 years", C69&lt;=10, "6–10 years", C69&lt;=15, "11–15 years", C69&lt;=20, "16–20 years", TRUE, "21–25 years")</f>
        <v>6–10 years</v>
      </c>
    </row>
    <row r="70" spans="1:8" x14ac:dyDescent="0.3">
      <c r="A70" t="s">
        <v>1712</v>
      </c>
      <c r="B70" t="s">
        <v>48</v>
      </c>
      <c r="C70">
        <v>6</v>
      </c>
      <c r="D70" s="9">
        <v>97.78</v>
      </c>
      <c r="E70" t="s">
        <v>1041</v>
      </c>
      <c r="F70" s="10">
        <v>483.91</v>
      </c>
      <c r="G70">
        <f>Meter[[#This Row],[EstimatedLoss_RM]]/0.8</f>
        <v>604.88750000000005</v>
      </c>
      <c r="H70" t="str" cm="1">
        <f t="array" ref="H70">_xlfn.IFS(C70&lt;=5, "0–5 years", C70&lt;=10, "6–10 years", C70&lt;=15, "11–15 years", C70&lt;=20, "16–20 years", TRUE, "21–25 years")</f>
        <v>6–10 years</v>
      </c>
    </row>
    <row r="71" spans="1:8" x14ac:dyDescent="0.3">
      <c r="A71" t="s">
        <v>1375</v>
      </c>
      <c r="B71" t="s">
        <v>45</v>
      </c>
      <c r="C71">
        <v>1</v>
      </c>
      <c r="D71" s="2">
        <v>97.75</v>
      </c>
      <c r="E71" t="s">
        <v>1045</v>
      </c>
      <c r="F71" s="11">
        <v>491.89</v>
      </c>
      <c r="G71">
        <f>Meter[[#This Row],[EstimatedLoss_RM]]/0.8</f>
        <v>614.86249999999995</v>
      </c>
      <c r="H71" t="str" cm="1">
        <f t="array" ref="H71">_xlfn.IFS(C71&lt;=5, "0–5 years", C71&lt;=10, "6–10 years", C71&lt;=15, "11–15 years", C71&lt;=20, "16–20 years", TRUE, "21–25 years")</f>
        <v>0–5 years</v>
      </c>
    </row>
    <row r="72" spans="1:8" x14ac:dyDescent="0.3">
      <c r="A72" t="s">
        <v>1604</v>
      </c>
      <c r="B72" t="s">
        <v>52</v>
      </c>
      <c r="C72">
        <v>11</v>
      </c>
      <c r="D72" s="9">
        <v>97.75</v>
      </c>
      <c r="E72" t="s">
        <v>1041</v>
      </c>
      <c r="F72" s="10">
        <v>495.83</v>
      </c>
      <c r="G72">
        <f>Meter[[#This Row],[EstimatedLoss_RM]]/0.8</f>
        <v>619.78749999999991</v>
      </c>
      <c r="H72" t="str" cm="1">
        <f t="array" ref="H72">_xlfn.IFS(C72&lt;=5, "0–5 years", C72&lt;=10, "6–10 years", C72&lt;=15, "11–15 years", C72&lt;=20, "16–20 years", TRUE, "21–25 years")</f>
        <v>11–15 years</v>
      </c>
    </row>
    <row r="73" spans="1:8" x14ac:dyDescent="0.3">
      <c r="A73" t="s">
        <v>1063</v>
      </c>
      <c r="B73" t="s">
        <v>49</v>
      </c>
      <c r="C73">
        <v>8</v>
      </c>
      <c r="D73" s="2">
        <v>97.73</v>
      </c>
      <c r="E73" t="s">
        <v>1041</v>
      </c>
      <c r="F73" s="11">
        <v>509.61</v>
      </c>
      <c r="G73">
        <f>Meter[[#This Row],[EstimatedLoss_RM]]/0.8</f>
        <v>637.01249999999993</v>
      </c>
      <c r="H73" t="str" cm="1">
        <f t="array" ref="H73">_xlfn.IFS(C73&lt;=5, "0–5 years", C73&lt;=10, "6–10 years", C73&lt;=15, "11–15 years", C73&lt;=20, "16–20 years", TRUE, "21–25 years")</f>
        <v>6–10 years</v>
      </c>
    </row>
    <row r="74" spans="1:8" x14ac:dyDescent="0.3">
      <c r="A74" t="s">
        <v>1193</v>
      </c>
      <c r="B74" t="s">
        <v>45</v>
      </c>
      <c r="C74">
        <v>2</v>
      </c>
      <c r="D74" s="9">
        <v>97.7</v>
      </c>
      <c r="E74" t="s">
        <v>1041</v>
      </c>
      <c r="F74" s="10">
        <v>511.29</v>
      </c>
      <c r="G74">
        <f>Meter[[#This Row],[EstimatedLoss_RM]]/0.8</f>
        <v>639.11249999999995</v>
      </c>
      <c r="H74" t="str" cm="1">
        <f t="array" ref="H74">_xlfn.IFS(C74&lt;=5, "0–5 years", C74&lt;=10, "6–10 years", C74&lt;=15, "11–15 years", C74&lt;=20, "16–20 years", TRUE, "21–25 years")</f>
        <v>0–5 years</v>
      </c>
    </row>
    <row r="75" spans="1:8" x14ac:dyDescent="0.3">
      <c r="A75" t="s">
        <v>1448</v>
      </c>
      <c r="B75" t="s">
        <v>52</v>
      </c>
      <c r="C75">
        <v>4</v>
      </c>
      <c r="D75" s="2">
        <v>97.65</v>
      </c>
      <c r="E75" t="s">
        <v>1041</v>
      </c>
      <c r="F75" s="11">
        <v>525.14</v>
      </c>
      <c r="G75">
        <f>Meter[[#This Row],[EstimatedLoss_RM]]/0.8</f>
        <v>656.42499999999995</v>
      </c>
      <c r="H75" t="str" cm="1">
        <f t="array" ref="H75">_xlfn.IFS(C75&lt;=5, "0–5 years", C75&lt;=10, "6–10 years", C75&lt;=15, "11–15 years", C75&lt;=20, "16–20 years", TRUE, "21–25 years")</f>
        <v>0–5 years</v>
      </c>
    </row>
    <row r="76" spans="1:8" x14ac:dyDescent="0.3">
      <c r="A76" t="s">
        <v>1223</v>
      </c>
      <c r="B76" t="s">
        <v>52</v>
      </c>
      <c r="C76">
        <v>4</v>
      </c>
      <c r="D76" s="9">
        <v>97.65</v>
      </c>
      <c r="E76" t="s">
        <v>1045</v>
      </c>
      <c r="F76" s="10">
        <v>532.22</v>
      </c>
      <c r="G76">
        <f>Meter[[#This Row],[EstimatedLoss_RM]]/0.8</f>
        <v>665.27499999999998</v>
      </c>
      <c r="H76" t="str" cm="1">
        <f t="array" ref="H76">_xlfn.IFS(C76&lt;=5, "0–5 years", C76&lt;=10, "6–10 years", C76&lt;=15, "11–15 years", C76&lt;=20, "16–20 years", TRUE, "21–25 years")</f>
        <v>0–5 years</v>
      </c>
    </row>
    <row r="77" spans="1:8" x14ac:dyDescent="0.3">
      <c r="A77" t="s">
        <v>1506</v>
      </c>
      <c r="B77" t="s">
        <v>42</v>
      </c>
      <c r="C77">
        <v>2</v>
      </c>
      <c r="D77" s="2">
        <v>97.63</v>
      </c>
      <c r="E77" t="s">
        <v>1045</v>
      </c>
      <c r="F77" s="11">
        <v>543.78</v>
      </c>
      <c r="G77">
        <f>Meter[[#This Row],[EstimatedLoss_RM]]/0.8</f>
        <v>679.72499999999991</v>
      </c>
      <c r="H77" t="str" cm="1">
        <f t="array" ref="H77">_xlfn.IFS(C77&lt;=5, "0–5 years", C77&lt;=10, "6–10 years", C77&lt;=15, "11–15 years", C77&lt;=20, "16–20 years", TRUE, "21–25 years")</f>
        <v>0–5 years</v>
      </c>
    </row>
    <row r="78" spans="1:8" x14ac:dyDescent="0.3">
      <c r="A78" t="s">
        <v>1753</v>
      </c>
      <c r="B78" t="s">
        <v>53</v>
      </c>
      <c r="C78">
        <v>2</v>
      </c>
      <c r="D78" s="9">
        <v>97.62</v>
      </c>
      <c r="E78" t="s">
        <v>1041</v>
      </c>
      <c r="F78" s="10">
        <v>547.83000000000004</v>
      </c>
      <c r="G78">
        <f>Meter[[#This Row],[EstimatedLoss_RM]]/0.8</f>
        <v>684.78750000000002</v>
      </c>
      <c r="H78" t="str" cm="1">
        <f t="array" ref="H78">_xlfn.IFS(C78&lt;=5, "0–5 years", C78&lt;=10, "6–10 years", C78&lt;=15, "11–15 years", C78&lt;=20, "16–20 years", TRUE, "21–25 years")</f>
        <v>0–5 years</v>
      </c>
    </row>
    <row r="79" spans="1:8" x14ac:dyDescent="0.3">
      <c r="A79" t="s">
        <v>1881</v>
      </c>
      <c r="B79" t="s">
        <v>39</v>
      </c>
      <c r="C79">
        <v>6</v>
      </c>
      <c r="D79" s="2">
        <v>97.57</v>
      </c>
      <c r="E79" t="s">
        <v>1043</v>
      </c>
      <c r="F79" s="11">
        <v>548.72</v>
      </c>
      <c r="G79">
        <f>Meter[[#This Row],[EstimatedLoss_RM]]/0.8</f>
        <v>685.9</v>
      </c>
      <c r="H79" t="str" cm="1">
        <f t="array" ref="H79">_xlfn.IFS(C79&lt;=5, "0–5 years", C79&lt;=10, "6–10 years", C79&lt;=15, "11–15 years", C79&lt;=20, "16–20 years", TRUE, "21–25 years")</f>
        <v>6–10 years</v>
      </c>
    </row>
    <row r="80" spans="1:8" x14ac:dyDescent="0.3">
      <c r="A80" t="s">
        <v>1253</v>
      </c>
      <c r="B80" t="s">
        <v>39</v>
      </c>
      <c r="C80">
        <v>4</v>
      </c>
      <c r="D80" s="9">
        <v>97.54</v>
      </c>
      <c r="E80" t="s">
        <v>1041</v>
      </c>
      <c r="F80" s="10">
        <v>569.20000000000005</v>
      </c>
      <c r="G80">
        <f>Meter[[#This Row],[EstimatedLoss_RM]]/0.8</f>
        <v>711.5</v>
      </c>
      <c r="H80" t="str" cm="1">
        <f t="array" ref="H80">_xlfn.IFS(C80&lt;=5, "0–5 years", C80&lt;=10, "6–10 years", C80&lt;=15, "11–15 years", C80&lt;=20, "16–20 years", TRUE, "21–25 years")</f>
        <v>0–5 years</v>
      </c>
    </row>
    <row r="81" spans="1:8" x14ac:dyDescent="0.3">
      <c r="A81" t="s">
        <v>1159</v>
      </c>
      <c r="B81" t="s">
        <v>42</v>
      </c>
      <c r="C81">
        <v>1</v>
      </c>
      <c r="D81" s="2">
        <v>97.53</v>
      </c>
      <c r="E81" t="s">
        <v>1043</v>
      </c>
      <c r="F81" s="11">
        <v>572.41999999999996</v>
      </c>
      <c r="G81">
        <f>Meter[[#This Row],[EstimatedLoss_RM]]/0.8</f>
        <v>715.52499999999986</v>
      </c>
      <c r="H81" t="str" cm="1">
        <f t="array" ref="H81">_xlfn.IFS(C81&lt;=5, "0–5 years", C81&lt;=10, "6–10 years", C81&lt;=15, "11–15 years", C81&lt;=20, "16–20 years", TRUE, "21–25 years")</f>
        <v>0–5 years</v>
      </c>
    </row>
    <row r="82" spans="1:8" x14ac:dyDescent="0.3">
      <c r="A82" t="s">
        <v>1345</v>
      </c>
      <c r="B82" t="s">
        <v>41</v>
      </c>
      <c r="C82">
        <v>5</v>
      </c>
      <c r="D82" s="9">
        <v>97.49</v>
      </c>
      <c r="E82" t="s">
        <v>1045</v>
      </c>
      <c r="F82" s="10">
        <v>581.53</v>
      </c>
      <c r="G82">
        <f>Meter[[#This Row],[EstimatedLoss_RM]]/0.8</f>
        <v>726.91249999999991</v>
      </c>
      <c r="H82" t="str" cm="1">
        <f t="array" ref="H82">_xlfn.IFS(C82&lt;=5, "0–5 years", C82&lt;=10, "6–10 years", C82&lt;=15, "11–15 years", C82&lt;=20, "16–20 years", TRUE, "21–25 years")</f>
        <v>0–5 years</v>
      </c>
    </row>
    <row r="83" spans="1:8" x14ac:dyDescent="0.3">
      <c r="A83" t="s">
        <v>1114</v>
      </c>
      <c r="B83" t="s">
        <v>53</v>
      </c>
      <c r="C83">
        <v>9</v>
      </c>
      <c r="D83" s="2">
        <v>97.48</v>
      </c>
      <c r="E83" t="s">
        <v>1041</v>
      </c>
      <c r="F83" s="11">
        <v>591.23</v>
      </c>
      <c r="G83">
        <f>Meter[[#This Row],[EstimatedLoss_RM]]/0.8</f>
        <v>739.03750000000002</v>
      </c>
      <c r="H83" t="str" cm="1">
        <f t="array" ref="H83">_xlfn.IFS(C83&lt;=5, "0–5 years", C83&lt;=10, "6–10 years", C83&lt;=15, "11–15 years", C83&lt;=20, "16–20 years", TRUE, "21–25 years")</f>
        <v>6–10 years</v>
      </c>
    </row>
    <row r="84" spans="1:8" x14ac:dyDescent="0.3">
      <c r="A84" t="s">
        <v>1130</v>
      </c>
      <c r="B84" t="s">
        <v>44</v>
      </c>
      <c r="C84">
        <v>3</v>
      </c>
      <c r="D84" s="9">
        <v>97.46</v>
      </c>
      <c r="E84" t="s">
        <v>1043</v>
      </c>
      <c r="F84" s="10">
        <v>592.73</v>
      </c>
      <c r="G84">
        <f>Meter[[#This Row],[EstimatedLoss_RM]]/0.8</f>
        <v>740.91250000000002</v>
      </c>
      <c r="H84" t="str" cm="1">
        <f t="array" ref="H84">_xlfn.IFS(C84&lt;=5, "0–5 years", C84&lt;=10, "6–10 years", C84&lt;=15, "11–15 years", C84&lt;=20, "16–20 years", TRUE, "21–25 years")</f>
        <v>0–5 years</v>
      </c>
    </row>
    <row r="85" spans="1:8" x14ac:dyDescent="0.3">
      <c r="A85" t="s">
        <v>1486</v>
      </c>
      <c r="B85" t="s">
        <v>42</v>
      </c>
      <c r="C85">
        <v>1</v>
      </c>
      <c r="D85" s="2">
        <v>97.42</v>
      </c>
      <c r="E85" t="s">
        <v>1043</v>
      </c>
      <c r="F85" s="11">
        <v>597.71</v>
      </c>
      <c r="G85">
        <f>Meter[[#This Row],[EstimatedLoss_RM]]/0.8</f>
        <v>747.13750000000005</v>
      </c>
      <c r="H85" t="str" cm="1">
        <f t="array" ref="H85">_xlfn.IFS(C85&lt;=5, "0–5 years", C85&lt;=10, "6–10 years", C85&lt;=15, "11–15 years", C85&lt;=20, "16–20 years", TRUE, "21–25 years")</f>
        <v>0–5 years</v>
      </c>
    </row>
    <row r="86" spans="1:8" x14ac:dyDescent="0.3">
      <c r="A86" t="s">
        <v>1133</v>
      </c>
      <c r="B86" t="s">
        <v>38</v>
      </c>
      <c r="C86">
        <v>2</v>
      </c>
      <c r="D86" s="9">
        <v>97.39</v>
      </c>
      <c r="E86" t="s">
        <v>1041</v>
      </c>
      <c r="F86" s="10">
        <v>627.4</v>
      </c>
      <c r="G86">
        <f>Meter[[#This Row],[EstimatedLoss_RM]]/0.8</f>
        <v>784.24999999999989</v>
      </c>
      <c r="H86" t="str" cm="1">
        <f t="array" ref="H86">_xlfn.IFS(C86&lt;=5, "0–5 years", C86&lt;=10, "6–10 years", C86&lt;=15, "11–15 years", C86&lt;=20, "16–20 years", TRUE, "21–25 years")</f>
        <v>0–5 years</v>
      </c>
    </row>
    <row r="87" spans="1:8" x14ac:dyDescent="0.3">
      <c r="A87" t="s">
        <v>1363</v>
      </c>
      <c r="B87" t="s">
        <v>49</v>
      </c>
      <c r="C87">
        <v>2</v>
      </c>
      <c r="D87" s="2">
        <v>97.39</v>
      </c>
      <c r="E87" t="s">
        <v>1041</v>
      </c>
      <c r="F87" s="11">
        <v>634.04</v>
      </c>
      <c r="G87">
        <f>Meter[[#This Row],[EstimatedLoss_RM]]/0.8</f>
        <v>792.55</v>
      </c>
      <c r="H87" t="str" cm="1">
        <f t="array" ref="H87">_xlfn.IFS(C87&lt;=5, "0–5 years", C87&lt;=10, "6–10 years", C87&lt;=15, "11–15 years", C87&lt;=20, "16–20 years", TRUE, "21–25 years")</f>
        <v>0–5 years</v>
      </c>
    </row>
    <row r="88" spans="1:8" x14ac:dyDescent="0.3">
      <c r="A88" t="s">
        <v>1603</v>
      </c>
      <c r="B88" t="s">
        <v>48</v>
      </c>
      <c r="C88">
        <v>3</v>
      </c>
      <c r="D88" s="9">
        <v>97.38</v>
      </c>
      <c r="E88" t="s">
        <v>1041</v>
      </c>
      <c r="F88" s="10">
        <v>642.62</v>
      </c>
      <c r="G88">
        <f>Meter[[#This Row],[EstimatedLoss_RM]]/0.8</f>
        <v>803.27499999999998</v>
      </c>
      <c r="H88" t="str" cm="1">
        <f t="array" ref="H88">_xlfn.IFS(C88&lt;=5, "0–5 years", C88&lt;=10, "6–10 years", C88&lt;=15, "11–15 years", C88&lt;=20, "16–20 years", TRUE, "21–25 years")</f>
        <v>0–5 years</v>
      </c>
    </row>
    <row r="89" spans="1:8" x14ac:dyDescent="0.3">
      <c r="A89" t="s">
        <v>1860</v>
      </c>
      <c r="B89" t="s">
        <v>47</v>
      </c>
      <c r="C89">
        <v>6</v>
      </c>
      <c r="D89" s="2">
        <v>97.38</v>
      </c>
      <c r="E89" t="s">
        <v>1041</v>
      </c>
      <c r="F89" s="11">
        <v>640.21</v>
      </c>
      <c r="G89">
        <f>Meter[[#This Row],[EstimatedLoss_RM]]/0.8</f>
        <v>800.26250000000005</v>
      </c>
      <c r="H89" t="str" cm="1">
        <f t="array" ref="H89">_xlfn.IFS(C89&lt;=5, "0–5 years", C89&lt;=10, "6–10 years", C89&lt;=15, "11–15 years", C89&lt;=20, "16–20 years", TRUE, "21–25 years")</f>
        <v>6–10 years</v>
      </c>
    </row>
    <row r="90" spans="1:8" x14ac:dyDescent="0.3">
      <c r="A90" t="s">
        <v>1909</v>
      </c>
      <c r="B90" t="s">
        <v>52</v>
      </c>
      <c r="C90">
        <v>3</v>
      </c>
      <c r="D90" s="9">
        <v>97.37</v>
      </c>
      <c r="E90" t="s">
        <v>1041</v>
      </c>
      <c r="F90" s="10">
        <v>657.58</v>
      </c>
      <c r="G90">
        <f>Meter[[#This Row],[EstimatedLoss_RM]]/0.8</f>
        <v>821.97500000000002</v>
      </c>
      <c r="H90" t="str" cm="1">
        <f t="array" ref="H90">_xlfn.IFS(C90&lt;=5, "0–5 years", C90&lt;=10, "6–10 years", C90&lt;=15, "11–15 years", C90&lt;=20, "16–20 years", TRUE, "21–25 years")</f>
        <v>0–5 years</v>
      </c>
    </row>
    <row r="91" spans="1:8" x14ac:dyDescent="0.3">
      <c r="A91" t="s">
        <v>1470</v>
      </c>
      <c r="B91" t="s">
        <v>48</v>
      </c>
      <c r="C91">
        <v>5</v>
      </c>
      <c r="D91" s="2">
        <v>97.37</v>
      </c>
      <c r="E91" t="s">
        <v>1043</v>
      </c>
      <c r="F91" s="11">
        <v>647.98</v>
      </c>
      <c r="G91">
        <f>Meter[[#This Row],[EstimatedLoss_RM]]/0.8</f>
        <v>809.97500000000002</v>
      </c>
      <c r="H91" t="str" cm="1">
        <f t="array" ref="H91">_xlfn.IFS(C91&lt;=5, "0–5 years", C91&lt;=10, "6–10 years", C91&lt;=15, "11–15 years", C91&lt;=20, "16–20 years", TRUE, "21–25 years")</f>
        <v>0–5 years</v>
      </c>
    </row>
    <row r="92" spans="1:8" x14ac:dyDescent="0.3">
      <c r="A92" t="s">
        <v>1331</v>
      </c>
      <c r="B92" t="s">
        <v>39</v>
      </c>
      <c r="C92">
        <v>3</v>
      </c>
      <c r="D92" s="9">
        <v>97.36</v>
      </c>
      <c r="E92" t="s">
        <v>1045</v>
      </c>
      <c r="F92" s="10">
        <v>661.62</v>
      </c>
      <c r="G92">
        <f>Meter[[#This Row],[EstimatedLoss_RM]]/0.8</f>
        <v>827.02499999999998</v>
      </c>
      <c r="H92" t="str" cm="1">
        <f t="array" ref="H92">_xlfn.IFS(C92&lt;=5, "0–5 years", C92&lt;=10, "6–10 years", C92&lt;=15, "11–15 years", C92&lt;=20, "16–20 years", TRUE, "21–25 years")</f>
        <v>0–5 years</v>
      </c>
    </row>
    <row r="93" spans="1:8" x14ac:dyDescent="0.3">
      <c r="A93" t="s">
        <v>1535</v>
      </c>
      <c r="B93" t="s">
        <v>48</v>
      </c>
      <c r="C93">
        <v>2</v>
      </c>
      <c r="D93" s="2">
        <v>97.35</v>
      </c>
      <c r="E93" t="s">
        <v>1041</v>
      </c>
      <c r="F93" s="11">
        <v>663.81</v>
      </c>
      <c r="G93">
        <f>Meter[[#This Row],[EstimatedLoss_RM]]/0.8</f>
        <v>829.76249999999993</v>
      </c>
      <c r="H93" t="str" cm="1">
        <f t="array" ref="H93">_xlfn.IFS(C93&lt;=5, "0–5 years", C93&lt;=10, "6–10 years", C93&lt;=15, "11–15 years", C93&lt;=20, "16–20 years", TRUE, "21–25 years")</f>
        <v>0–5 years</v>
      </c>
    </row>
    <row r="94" spans="1:8" x14ac:dyDescent="0.3">
      <c r="A94" t="s">
        <v>1900</v>
      </c>
      <c r="B94" t="s">
        <v>52</v>
      </c>
      <c r="C94">
        <v>4</v>
      </c>
      <c r="D94" s="9">
        <v>97.34</v>
      </c>
      <c r="E94" t="s">
        <v>1041</v>
      </c>
      <c r="F94" s="10">
        <v>668.13</v>
      </c>
      <c r="G94">
        <f>Meter[[#This Row],[EstimatedLoss_RM]]/0.8</f>
        <v>835.16249999999991</v>
      </c>
      <c r="H94" t="str" cm="1">
        <f t="array" ref="H94">_xlfn.IFS(C94&lt;=5, "0–5 years", C94&lt;=10, "6–10 years", C94&lt;=15, "11–15 years", C94&lt;=20, "16–20 years", TRUE, "21–25 years")</f>
        <v>0–5 years</v>
      </c>
    </row>
    <row r="95" spans="1:8" x14ac:dyDescent="0.3">
      <c r="A95" t="s">
        <v>1859</v>
      </c>
      <c r="B95" t="s">
        <v>48</v>
      </c>
      <c r="C95">
        <v>3</v>
      </c>
      <c r="D95" s="2">
        <v>97.33</v>
      </c>
      <c r="E95" t="s">
        <v>1043</v>
      </c>
      <c r="F95" s="11">
        <v>672.18</v>
      </c>
      <c r="G95">
        <f>Meter[[#This Row],[EstimatedLoss_RM]]/0.8</f>
        <v>840.22499999999991</v>
      </c>
      <c r="H95" t="str" cm="1">
        <f t="array" ref="H95">_xlfn.IFS(C95&lt;=5, "0–5 years", C95&lt;=10, "6–10 years", C95&lt;=15, "11–15 years", C95&lt;=20, "16–20 years", TRUE, "21–25 years")</f>
        <v>0–5 years</v>
      </c>
    </row>
    <row r="96" spans="1:8" x14ac:dyDescent="0.3">
      <c r="A96" t="s">
        <v>1140</v>
      </c>
      <c r="B96" t="s">
        <v>42</v>
      </c>
      <c r="C96">
        <v>3</v>
      </c>
      <c r="D96" s="9">
        <v>97.32</v>
      </c>
      <c r="E96" t="s">
        <v>1045</v>
      </c>
      <c r="F96" s="10">
        <v>680.34</v>
      </c>
      <c r="G96">
        <f>Meter[[#This Row],[EstimatedLoss_RM]]/0.8</f>
        <v>850.42499999999995</v>
      </c>
      <c r="H96" t="str" cm="1">
        <f t="array" ref="H96">_xlfn.IFS(C96&lt;=5, "0–5 years", C96&lt;=10, "6–10 years", C96&lt;=15, "11–15 years", C96&lt;=20, "16–20 years", TRUE, "21–25 years")</f>
        <v>0–5 years</v>
      </c>
    </row>
    <row r="97" spans="1:8" x14ac:dyDescent="0.3">
      <c r="A97" t="s">
        <v>1395</v>
      </c>
      <c r="B97" t="s">
        <v>41</v>
      </c>
      <c r="C97">
        <v>6</v>
      </c>
      <c r="D97" s="2">
        <v>97.32</v>
      </c>
      <c r="E97" t="s">
        <v>1045</v>
      </c>
      <c r="F97" s="11">
        <v>677.77</v>
      </c>
      <c r="G97">
        <f>Meter[[#This Row],[EstimatedLoss_RM]]/0.8</f>
        <v>847.21249999999998</v>
      </c>
      <c r="H97" t="str" cm="1">
        <f t="array" ref="H97">_xlfn.IFS(C97&lt;=5, "0–5 years", C97&lt;=10, "6–10 years", C97&lt;=15, "11–15 years", C97&lt;=20, "16–20 years", TRUE, "21–25 years")</f>
        <v>6–10 years</v>
      </c>
    </row>
    <row r="98" spans="1:8" x14ac:dyDescent="0.3">
      <c r="A98" t="s">
        <v>1596</v>
      </c>
      <c r="B98" t="s">
        <v>41</v>
      </c>
      <c r="C98">
        <v>3</v>
      </c>
      <c r="D98" s="9">
        <v>97.31</v>
      </c>
      <c r="E98" t="s">
        <v>1043</v>
      </c>
      <c r="F98" s="10">
        <v>681.23</v>
      </c>
      <c r="G98">
        <f>Meter[[#This Row],[EstimatedLoss_RM]]/0.8</f>
        <v>851.53750000000002</v>
      </c>
      <c r="H98" t="str" cm="1">
        <f t="array" ref="H98">_xlfn.IFS(C98&lt;=5, "0–5 years", C98&lt;=10, "6–10 years", C98&lt;=15, "11–15 years", C98&lt;=20, "16–20 years", TRUE, "21–25 years")</f>
        <v>0–5 years</v>
      </c>
    </row>
    <row r="99" spans="1:8" x14ac:dyDescent="0.3">
      <c r="A99" t="s">
        <v>1693</v>
      </c>
      <c r="B99" t="s">
        <v>41</v>
      </c>
      <c r="C99">
        <v>11</v>
      </c>
      <c r="D99" s="2">
        <v>97.3</v>
      </c>
      <c r="E99" t="s">
        <v>1043</v>
      </c>
      <c r="F99" s="11">
        <v>687.25</v>
      </c>
      <c r="G99">
        <f>Meter[[#This Row],[EstimatedLoss_RM]]/0.8</f>
        <v>859.0625</v>
      </c>
      <c r="H99" t="str" cm="1">
        <f t="array" ref="H99">_xlfn.IFS(C99&lt;=5, "0–5 years", C99&lt;=10, "6–10 years", C99&lt;=15, "11–15 years", C99&lt;=20, "16–20 years", TRUE, "21–25 years")</f>
        <v>11–15 years</v>
      </c>
    </row>
    <row r="100" spans="1:8" x14ac:dyDescent="0.3">
      <c r="A100" t="s">
        <v>1467</v>
      </c>
      <c r="B100" t="s">
        <v>46</v>
      </c>
      <c r="C100">
        <v>5</v>
      </c>
      <c r="D100" s="9">
        <v>97.29</v>
      </c>
      <c r="E100" t="s">
        <v>1041</v>
      </c>
      <c r="F100" s="10">
        <v>688.07</v>
      </c>
      <c r="G100">
        <f>Meter[[#This Row],[EstimatedLoss_RM]]/0.8</f>
        <v>860.08749999999998</v>
      </c>
      <c r="H100" t="str" cm="1">
        <f t="array" ref="H100">_xlfn.IFS(C100&lt;=5, "0–5 years", C100&lt;=10, "6–10 years", C100&lt;=15, "11–15 years", C100&lt;=20, "16–20 years", TRUE, "21–25 years")</f>
        <v>0–5 years</v>
      </c>
    </row>
    <row r="101" spans="1:8" x14ac:dyDescent="0.3">
      <c r="A101" t="s">
        <v>1118</v>
      </c>
      <c r="B101" t="s">
        <v>48</v>
      </c>
      <c r="C101">
        <v>6</v>
      </c>
      <c r="D101" s="2">
        <v>97.24</v>
      </c>
      <c r="E101" t="s">
        <v>1045</v>
      </c>
      <c r="F101" s="11">
        <v>688.57</v>
      </c>
      <c r="G101">
        <f>Meter[[#This Row],[EstimatedLoss_RM]]/0.8</f>
        <v>860.71249999999998</v>
      </c>
      <c r="H101" t="str" cm="1">
        <f t="array" ref="H101">_xlfn.IFS(C101&lt;=5, "0–5 years", C101&lt;=10, "6–10 years", C101&lt;=15, "11–15 years", C101&lt;=20, "16–20 years", TRUE, "21–25 years")</f>
        <v>6–10 years</v>
      </c>
    </row>
    <row r="102" spans="1:8" x14ac:dyDescent="0.3">
      <c r="A102" t="s">
        <v>1381</v>
      </c>
      <c r="B102" t="s">
        <v>43</v>
      </c>
      <c r="C102">
        <v>4</v>
      </c>
      <c r="D102" s="9">
        <v>97.23</v>
      </c>
      <c r="E102" t="s">
        <v>1041</v>
      </c>
      <c r="F102" s="10">
        <v>689.54</v>
      </c>
      <c r="G102">
        <f>Meter[[#This Row],[EstimatedLoss_RM]]/0.8</f>
        <v>861.92499999999995</v>
      </c>
      <c r="H102" t="str" cm="1">
        <f t="array" ref="H102">_xlfn.IFS(C102&lt;=5, "0–5 years", C102&lt;=10, "6–10 years", C102&lt;=15, "11–15 years", C102&lt;=20, "16–20 years", TRUE, "21–25 years")</f>
        <v>0–5 years</v>
      </c>
    </row>
    <row r="103" spans="1:8" x14ac:dyDescent="0.3">
      <c r="A103" t="s">
        <v>1188</v>
      </c>
      <c r="B103" t="s">
        <v>45</v>
      </c>
      <c r="C103">
        <v>6</v>
      </c>
      <c r="D103" s="2">
        <v>97.16</v>
      </c>
      <c r="E103" t="s">
        <v>1045</v>
      </c>
      <c r="F103" s="11">
        <v>693.09</v>
      </c>
      <c r="G103">
        <f>Meter[[#This Row],[EstimatedLoss_RM]]/0.8</f>
        <v>866.36249999999995</v>
      </c>
      <c r="H103" t="str" cm="1">
        <f t="array" ref="H103">_xlfn.IFS(C103&lt;=5, "0–5 years", C103&lt;=10, "6–10 years", C103&lt;=15, "11–15 years", C103&lt;=20, "16–20 years", TRUE, "21–25 years")</f>
        <v>6–10 years</v>
      </c>
    </row>
    <row r="104" spans="1:8" x14ac:dyDescent="0.3">
      <c r="A104" t="s">
        <v>1589</v>
      </c>
      <c r="B104" t="s">
        <v>48</v>
      </c>
      <c r="C104">
        <v>5</v>
      </c>
      <c r="D104" s="9">
        <v>97.15</v>
      </c>
      <c r="E104" t="s">
        <v>1045</v>
      </c>
      <c r="F104" s="10">
        <v>693.61</v>
      </c>
      <c r="G104">
        <f>Meter[[#This Row],[EstimatedLoss_RM]]/0.8</f>
        <v>867.01249999999993</v>
      </c>
      <c r="H104" t="str" cm="1">
        <f t="array" ref="H104">_xlfn.IFS(C104&lt;=5, "0–5 years", C104&lt;=10, "6–10 years", C104&lt;=15, "11–15 years", C104&lt;=20, "16–20 years", TRUE, "21–25 years")</f>
        <v>0–5 years</v>
      </c>
    </row>
    <row r="105" spans="1:8" x14ac:dyDescent="0.3">
      <c r="A105" t="s">
        <v>1643</v>
      </c>
      <c r="B105" t="s">
        <v>46</v>
      </c>
      <c r="C105">
        <v>6</v>
      </c>
      <c r="D105" s="2">
        <v>97.11</v>
      </c>
      <c r="E105" t="s">
        <v>1045</v>
      </c>
      <c r="F105" s="11">
        <v>695.92</v>
      </c>
      <c r="G105">
        <f>Meter[[#This Row],[EstimatedLoss_RM]]/0.8</f>
        <v>869.89999999999986</v>
      </c>
      <c r="H105" t="str" cm="1">
        <f t="array" ref="H105">_xlfn.IFS(C105&lt;=5, "0–5 years", C105&lt;=10, "6–10 years", C105&lt;=15, "11–15 years", C105&lt;=20, "16–20 years", TRUE, "21–25 years")</f>
        <v>6–10 years</v>
      </c>
    </row>
    <row r="106" spans="1:8" x14ac:dyDescent="0.3">
      <c r="A106" t="s">
        <v>1562</v>
      </c>
      <c r="B106" t="s">
        <v>48</v>
      </c>
      <c r="C106">
        <v>6</v>
      </c>
      <c r="D106" s="9">
        <v>97.1</v>
      </c>
      <c r="E106" t="s">
        <v>1045</v>
      </c>
      <c r="F106" s="10">
        <v>698.47</v>
      </c>
      <c r="G106">
        <f>Meter[[#This Row],[EstimatedLoss_RM]]/0.8</f>
        <v>873.08749999999998</v>
      </c>
      <c r="H106" t="str" cm="1">
        <f t="array" ref="H106">_xlfn.IFS(C106&lt;=5, "0–5 years", C106&lt;=10, "6–10 years", C106&lt;=15, "11–15 years", C106&lt;=20, "16–20 years", TRUE, "21–25 years")</f>
        <v>6–10 years</v>
      </c>
    </row>
    <row r="107" spans="1:8" x14ac:dyDescent="0.3">
      <c r="A107" t="s">
        <v>1459</v>
      </c>
      <c r="B107" t="s">
        <v>43</v>
      </c>
      <c r="C107">
        <v>10</v>
      </c>
      <c r="D107" s="2">
        <v>97.1</v>
      </c>
      <c r="E107" t="s">
        <v>1045</v>
      </c>
      <c r="F107" s="11">
        <v>698.12</v>
      </c>
      <c r="G107">
        <f>Meter[[#This Row],[EstimatedLoss_RM]]/0.8</f>
        <v>872.65</v>
      </c>
      <c r="H107" t="str" cm="1">
        <f t="array" ref="H107">_xlfn.IFS(C107&lt;=5, "0–5 years", C107&lt;=10, "6–10 years", C107&lt;=15, "11–15 years", C107&lt;=20, "16–20 years", TRUE, "21–25 years")</f>
        <v>6–10 years</v>
      </c>
    </row>
    <row r="108" spans="1:8" x14ac:dyDescent="0.3">
      <c r="A108" t="s">
        <v>1091</v>
      </c>
      <c r="B108" t="s">
        <v>47</v>
      </c>
      <c r="C108">
        <v>4</v>
      </c>
      <c r="D108" s="9">
        <v>97.09</v>
      </c>
      <c r="E108" t="s">
        <v>1043</v>
      </c>
      <c r="F108" s="10">
        <v>710</v>
      </c>
      <c r="G108">
        <f>Meter[[#This Row],[EstimatedLoss_RM]]/0.8</f>
        <v>887.5</v>
      </c>
      <c r="H108" t="str" cm="1">
        <f t="array" ref="H108">_xlfn.IFS(C108&lt;=5, "0–5 years", C108&lt;=10, "6–10 years", C108&lt;=15, "11–15 years", C108&lt;=20, "16–20 years", TRUE, "21–25 years")</f>
        <v>0–5 years</v>
      </c>
    </row>
    <row r="109" spans="1:8" x14ac:dyDescent="0.3">
      <c r="A109" t="s">
        <v>1194</v>
      </c>
      <c r="B109" t="s">
        <v>48</v>
      </c>
      <c r="C109">
        <v>4</v>
      </c>
      <c r="D109" s="2">
        <v>97.09</v>
      </c>
      <c r="E109" t="s">
        <v>1041</v>
      </c>
      <c r="F109" s="11">
        <v>711.65</v>
      </c>
      <c r="G109">
        <f>Meter[[#This Row],[EstimatedLoss_RM]]/0.8</f>
        <v>889.56249999999989</v>
      </c>
      <c r="H109" t="str" cm="1">
        <f t="array" ref="H109">_xlfn.IFS(C109&lt;=5, "0–5 years", C109&lt;=10, "6–10 years", C109&lt;=15, "11–15 years", C109&lt;=20, "16–20 years", TRUE, "21–25 years")</f>
        <v>0–5 years</v>
      </c>
    </row>
    <row r="110" spans="1:8" x14ac:dyDescent="0.3">
      <c r="A110" t="s">
        <v>1052</v>
      </c>
      <c r="B110" t="s">
        <v>46</v>
      </c>
      <c r="C110">
        <v>5</v>
      </c>
      <c r="D110" s="9">
        <v>97.09</v>
      </c>
      <c r="E110" t="s">
        <v>1041</v>
      </c>
      <c r="F110" s="10">
        <v>699.73</v>
      </c>
      <c r="G110">
        <f>Meter[[#This Row],[EstimatedLoss_RM]]/0.8</f>
        <v>874.66250000000002</v>
      </c>
      <c r="H110" t="str" cm="1">
        <f t="array" ref="H110">_xlfn.IFS(C110&lt;=5, "0–5 years", C110&lt;=10, "6–10 years", C110&lt;=15, "11–15 years", C110&lt;=20, "16–20 years", TRUE, "21–25 years")</f>
        <v>0–5 years</v>
      </c>
    </row>
    <row r="111" spans="1:8" x14ac:dyDescent="0.3">
      <c r="A111" t="s">
        <v>1304</v>
      </c>
      <c r="B111" t="s">
        <v>45</v>
      </c>
      <c r="C111">
        <v>2</v>
      </c>
      <c r="D111" s="2">
        <v>97.08</v>
      </c>
      <c r="E111" t="s">
        <v>1041</v>
      </c>
      <c r="F111" s="11">
        <v>712.73</v>
      </c>
      <c r="G111">
        <f>Meter[[#This Row],[EstimatedLoss_RM]]/0.8</f>
        <v>890.91250000000002</v>
      </c>
      <c r="H111" t="str" cm="1">
        <f t="array" ref="H111">_xlfn.IFS(C111&lt;=5, "0–5 years", C111&lt;=10, "6–10 years", C111&lt;=15, "11–15 years", C111&lt;=20, "16–20 years", TRUE, "21–25 years")</f>
        <v>0–5 years</v>
      </c>
    </row>
    <row r="112" spans="1:8" x14ac:dyDescent="0.3">
      <c r="A112" t="s">
        <v>1721</v>
      </c>
      <c r="B112" t="s">
        <v>44</v>
      </c>
      <c r="C112">
        <v>7</v>
      </c>
      <c r="D112" s="9">
        <v>97.07</v>
      </c>
      <c r="E112" t="s">
        <v>1045</v>
      </c>
      <c r="F112" s="10">
        <v>734.45</v>
      </c>
      <c r="G112">
        <f>Meter[[#This Row],[EstimatedLoss_RM]]/0.8</f>
        <v>918.0625</v>
      </c>
      <c r="H112" t="str" cm="1">
        <f t="array" ref="H112">_xlfn.IFS(C112&lt;=5, "0–5 years", C112&lt;=10, "6–10 years", C112&lt;=15, "11–15 years", C112&lt;=20, "16–20 years", TRUE, "21–25 years")</f>
        <v>6–10 years</v>
      </c>
    </row>
    <row r="113" spans="1:8" x14ac:dyDescent="0.3">
      <c r="A113" t="s">
        <v>1348</v>
      </c>
      <c r="B113" t="s">
        <v>45</v>
      </c>
      <c r="C113">
        <v>3</v>
      </c>
      <c r="D113" s="2">
        <v>97.03</v>
      </c>
      <c r="E113" t="s">
        <v>1041</v>
      </c>
      <c r="F113" s="11">
        <v>748.24</v>
      </c>
      <c r="G113">
        <f>Meter[[#This Row],[EstimatedLoss_RM]]/0.8</f>
        <v>935.3</v>
      </c>
      <c r="H113" t="str" cm="1">
        <f t="array" ref="H113">_xlfn.IFS(C113&lt;=5, "0–5 years", C113&lt;=10, "6–10 years", C113&lt;=15, "11–15 years", C113&lt;=20, "16–20 years", TRUE, "21–25 years")</f>
        <v>0–5 years</v>
      </c>
    </row>
    <row r="114" spans="1:8" x14ac:dyDescent="0.3">
      <c r="A114" t="s">
        <v>1728</v>
      </c>
      <c r="B114" t="s">
        <v>44</v>
      </c>
      <c r="C114">
        <v>6</v>
      </c>
      <c r="D114" s="9">
        <v>97.03</v>
      </c>
      <c r="E114" t="s">
        <v>1041</v>
      </c>
      <c r="F114" s="10">
        <v>746.12</v>
      </c>
      <c r="G114">
        <f>Meter[[#This Row],[EstimatedLoss_RM]]/0.8</f>
        <v>932.65</v>
      </c>
      <c r="H114" t="str" cm="1">
        <f t="array" ref="H114">_xlfn.IFS(C114&lt;=5, "0–5 years", C114&lt;=10, "6–10 years", C114&lt;=15, "11–15 years", C114&lt;=20, "16–20 years", TRUE, "21–25 years")</f>
        <v>6–10 years</v>
      </c>
    </row>
    <row r="115" spans="1:8" x14ac:dyDescent="0.3">
      <c r="A115" t="s">
        <v>1072</v>
      </c>
      <c r="B115" t="s">
        <v>49</v>
      </c>
      <c r="C115">
        <v>1</v>
      </c>
      <c r="D115" s="2">
        <v>97.02</v>
      </c>
      <c r="E115" t="s">
        <v>1043</v>
      </c>
      <c r="F115" s="11">
        <v>749.18</v>
      </c>
      <c r="G115">
        <f>Meter[[#This Row],[EstimatedLoss_RM]]/0.8</f>
        <v>936.47499999999991</v>
      </c>
      <c r="H115" t="str" cm="1">
        <f t="array" ref="H115">_xlfn.IFS(C115&lt;=5, "0–5 years", C115&lt;=10, "6–10 years", C115&lt;=15, "11–15 years", C115&lt;=20, "16–20 years", TRUE, "21–25 years")</f>
        <v>0–5 years</v>
      </c>
    </row>
    <row r="116" spans="1:8" x14ac:dyDescent="0.3">
      <c r="A116" t="s">
        <v>1932</v>
      </c>
      <c r="B116" t="s">
        <v>48</v>
      </c>
      <c r="C116">
        <v>8</v>
      </c>
      <c r="D116" s="9">
        <v>97.02</v>
      </c>
      <c r="E116" t="s">
        <v>1045</v>
      </c>
      <c r="F116" s="10">
        <v>750.31</v>
      </c>
      <c r="G116">
        <f>Meter[[#This Row],[EstimatedLoss_RM]]/0.8</f>
        <v>937.88749999999993</v>
      </c>
      <c r="H116" t="str" cm="1">
        <f t="array" ref="H116">_xlfn.IFS(C116&lt;=5, "0–5 years", C116&lt;=10, "6–10 years", C116&lt;=15, "11–15 years", C116&lt;=20, "16–20 years", TRUE, "21–25 years")</f>
        <v>6–10 years</v>
      </c>
    </row>
    <row r="117" spans="1:8" x14ac:dyDescent="0.3">
      <c r="A117" t="s">
        <v>1121</v>
      </c>
      <c r="B117" t="s">
        <v>38</v>
      </c>
      <c r="C117">
        <v>3</v>
      </c>
      <c r="D117" s="2">
        <v>96.98</v>
      </c>
      <c r="E117" t="s">
        <v>1041</v>
      </c>
      <c r="F117" s="11">
        <v>755.76</v>
      </c>
      <c r="G117">
        <f>Meter[[#This Row],[EstimatedLoss_RM]]/0.8</f>
        <v>944.69999999999993</v>
      </c>
      <c r="H117" t="str" cm="1">
        <f t="array" ref="H117">_xlfn.IFS(C117&lt;=5, "0–5 years", C117&lt;=10, "6–10 years", C117&lt;=15, "11–15 years", C117&lt;=20, "16–20 years", TRUE, "21–25 years")</f>
        <v>0–5 years</v>
      </c>
    </row>
    <row r="118" spans="1:8" x14ac:dyDescent="0.3">
      <c r="A118" t="s">
        <v>1935</v>
      </c>
      <c r="B118" t="s">
        <v>47</v>
      </c>
      <c r="C118">
        <v>8</v>
      </c>
      <c r="D118" s="9">
        <v>96.93</v>
      </c>
      <c r="E118" t="s">
        <v>1045</v>
      </c>
      <c r="F118" s="10">
        <v>757.38</v>
      </c>
      <c r="G118">
        <f>Meter[[#This Row],[EstimatedLoss_RM]]/0.8</f>
        <v>946.72499999999991</v>
      </c>
      <c r="H118" t="str" cm="1">
        <f t="array" ref="H118">_xlfn.IFS(C118&lt;=5, "0–5 years", C118&lt;=10, "6–10 years", C118&lt;=15, "11–15 years", C118&lt;=20, "16–20 years", TRUE, "21–25 years")</f>
        <v>6–10 years</v>
      </c>
    </row>
    <row r="119" spans="1:8" x14ac:dyDescent="0.3">
      <c r="A119" t="s">
        <v>1156</v>
      </c>
      <c r="B119" t="s">
        <v>39</v>
      </c>
      <c r="C119">
        <v>15</v>
      </c>
      <c r="D119" s="2">
        <v>96.93</v>
      </c>
      <c r="E119" t="s">
        <v>1041</v>
      </c>
      <c r="F119" s="11">
        <v>759.14</v>
      </c>
      <c r="G119">
        <f>Meter[[#This Row],[EstimatedLoss_RM]]/0.8</f>
        <v>948.92499999999995</v>
      </c>
      <c r="H119" t="str" cm="1">
        <f t="array" ref="H119">_xlfn.IFS(C119&lt;=5, "0–5 years", C119&lt;=10, "6–10 years", C119&lt;=15, "11–15 years", C119&lt;=20, "16–20 years", TRUE, "21–25 years")</f>
        <v>11–15 years</v>
      </c>
    </row>
    <row r="120" spans="1:8" x14ac:dyDescent="0.3">
      <c r="A120" t="s">
        <v>1378</v>
      </c>
      <c r="B120" t="s">
        <v>44</v>
      </c>
      <c r="C120">
        <v>2</v>
      </c>
      <c r="D120" s="9">
        <v>96.91</v>
      </c>
      <c r="E120" t="s">
        <v>1045</v>
      </c>
      <c r="F120" s="10">
        <v>773.22</v>
      </c>
      <c r="G120">
        <f>Meter[[#This Row],[EstimatedLoss_RM]]/0.8</f>
        <v>966.52499999999998</v>
      </c>
      <c r="H120" t="str" cm="1">
        <f t="array" ref="H120">_xlfn.IFS(C120&lt;=5, "0–5 years", C120&lt;=10, "6–10 years", C120&lt;=15, "11–15 years", C120&lt;=20, "16–20 years", TRUE, "21–25 years")</f>
        <v>0–5 years</v>
      </c>
    </row>
    <row r="121" spans="1:8" x14ac:dyDescent="0.3">
      <c r="A121" t="s">
        <v>1732</v>
      </c>
      <c r="B121" t="s">
        <v>42</v>
      </c>
      <c r="C121">
        <v>5</v>
      </c>
      <c r="D121" s="2">
        <v>96.89</v>
      </c>
      <c r="E121" t="s">
        <v>1045</v>
      </c>
      <c r="F121" s="11">
        <v>773.42</v>
      </c>
      <c r="G121">
        <f>Meter[[#This Row],[EstimatedLoss_RM]]/0.8</f>
        <v>966.77499999999986</v>
      </c>
      <c r="H121" t="str" cm="1">
        <f t="array" ref="H121">_xlfn.IFS(C121&lt;=5, "0–5 years", C121&lt;=10, "6–10 years", C121&lt;=15, "11–15 years", C121&lt;=20, "16–20 years", TRUE, "21–25 years")</f>
        <v>0–5 years</v>
      </c>
    </row>
    <row r="122" spans="1:8" x14ac:dyDescent="0.3">
      <c r="A122" t="s">
        <v>1183</v>
      </c>
      <c r="B122" t="s">
        <v>46</v>
      </c>
      <c r="C122">
        <v>4</v>
      </c>
      <c r="D122" s="9">
        <v>96.85</v>
      </c>
      <c r="E122" t="s">
        <v>1041</v>
      </c>
      <c r="F122" s="10">
        <v>777.11</v>
      </c>
      <c r="G122">
        <f>Meter[[#This Row],[EstimatedLoss_RM]]/0.8</f>
        <v>971.38749999999993</v>
      </c>
      <c r="H122" t="str" cm="1">
        <f t="array" ref="H122">_xlfn.IFS(C122&lt;=5, "0–5 years", C122&lt;=10, "6–10 years", C122&lt;=15, "11–15 years", C122&lt;=20, "16–20 years", TRUE, "21–25 years")</f>
        <v>0–5 years</v>
      </c>
    </row>
    <row r="123" spans="1:8" x14ac:dyDescent="0.3">
      <c r="A123" t="s">
        <v>1742</v>
      </c>
      <c r="B123" t="s">
        <v>43</v>
      </c>
      <c r="C123">
        <v>2</v>
      </c>
      <c r="D123" s="2">
        <v>96.83</v>
      </c>
      <c r="E123" t="s">
        <v>1041</v>
      </c>
      <c r="F123" s="11">
        <v>778.3</v>
      </c>
      <c r="G123">
        <f>Meter[[#This Row],[EstimatedLoss_RM]]/0.8</f>
        <v>972.87499999999989</v>
      </c>
      <c r="H123" t="str" cm="1">
        <f t="array" ref="H123">_xlfn.IFS(C123&lt;=5, "0–5 years", C123&lt;=10, "6–10 years", C123&lt;=15, "11–15 years", C123&lt;=20, "16–20 years", TRUE, "21–25 years")</f>
        <v>0–5 years</v>
      </c>
    </row>
    <row r="124" spans="1:8" x14ac:dyDescent="0.3">
      <c r="A124" t="s">
        <v>1826</v>
      </c>
      <c r="B124" t="s">
        <v>49</v>
      </c>
      <c r="C124">
        <v>6</v>
      </c>
      <c r="D124" s="9">
        <v>96.82</v>
      </c>
      <c r="E124" t="s">
        <v>1041</v>
      </c>
      <c r="F124" s="10">
        <v>779.28</v>
      </c>
      <c r="G124">
        <f>Meter[[#This Row],[EstimatedLoss_RM]]/0.8</f>
        <v>974.09999999999991</v>
      </c>
      <c r="H124" t="str" cm="1">
        <f t="array" ref="H124">_xlfn.IFS(C124&lt;=5, "0–5 years", C124&lt;=10, "6–10 years", C124&lt;=15, "11–15 years", C124&lt;=20, "16–20 years", TRUE, "21–25 years")</f>
        <v>6–10 years</v>
      </c>
    </row>
    <row r="125" spans="1:8" x14ac:dyDescent="0.3">
      <c r="A125" t="s">
        <v>1352</v>
      </c>
      <c r="B125" t="s">
        <v>39</v>
      </c>
      <c r="C125">
        <v>2</v>
      </c>
      <c r="D125" s="2">
        <v>96.8</v>
      </c>
      <c r="E125" t="s">
        <v>1041</v>
      </c>
      <c r="F125" s="11">
        <v>782.76</v>
      </c>
      <c r="G125">
        <f>Meter[[#This Row],[EstimatedLoss_RM]]/0.8</f>
        <v>978.44999999999993</v>
      </c>
      <c r="H125" t="str" cm="1">
        <f t="array" ref="H125">_xlfn.IFS(C125&lt;=5, "0–5 years", C125&lt;=10, "6–10 years", C125&lt;=15, "11–15 years", C125&lt;=20, "16–20 years", TRUE, "21–25 years")</f>
        <v>0–5 years</v>
      </c>
    </row>
    <row r="126" spans="1:8" x14ac:dyDescent="0.3">
      <c r="A126" t="s">
        <v>1756</v>
      </c>
      <c r="B126" t="s">
        <v>40</v>
      </c>
      <c r="C126">
        <v>5</v>
      </c>
      <c r="D126" s="9">
        <v>96.8</v>
      </c>
      <c r="E126" t="s">
        <v>1045</v>
      </c>
      <c r="F126" s="10">
        <v>791.36</v>
      </c>
      <c r="G126">
        <f>Meter[[#This Row],[EstimatedLoss_RM]]/0.8</f>
        <v>989.19999999999993</v>
      </c>
      <c r="H126" t="str" cm="1">
        <f t="array" ref="H126">_xlfn.IFS(C126&lt;=5, "0–5 years", C126&lt;=10, "6–10 years", C126&lt;=15, "11–15 years", C126&lt;=20, "16–20 years", TRUE, "21–25 years")</f>
        <v>0–5 years</v>
      </c>
    </row>
    <row r="127" spans="1:8" x14ac:dyDescent="0.3">
      <c r="A127" t="s">
        <v>1075</v>
      </c>
      <c r="B127" t="s">
        <v>40</v>
      </c>
      <c r="C127">
        <v>3</v>
      </c>
      <c r="D127" s="2">
        <v>96.77</v>
      </c>
      <c r="E127" t="s">
        <v>1043</v>
      </c>
      <c r="F127" s="11">
        <v>795.41</v>
      </c>
      <c r="G127">
        <f>Meter[[#This Row],[EstimatedLoss_RM]]/0.8</f>
        <v>994.26249999999993</v>
      </c>
      <c r="H127" t="str" cm="1">
        <f t="array" ref="H127">_xlfn.IFS(C127&lt;=5, "0–5 years", C127&lt;=10, "6–10 years", C127&lt;=15, "11–15 years", C127&lt;=20, "16–20 years", TRUE, "21–25 years")</f>
        <v>0–5 years</v>
      </c>
    </row>
    <row r="128" spans="1:8" x14ac:dyDescent="0.3">
      <c r="A128" t="s">
        <v>1238</v>
      </c>
      <c r="B128" t="s">
        <v>38</v>
      </c>
      <c r="C128">
        <v>5</v>
      </c>
      <c r="D128" s="9">
        <v>96.77</v>
      </c>
      <c r="E128" t="s">
        <v>1043</v>
      </c>
      <c r="F128" s="10">
        <v>800.21</v>
      </c>
      <c r="G128">
        <f>Meter[[#This Row],[EstimatedLoss_RM]]/0.8</f>
        <v>1000.2625</v>
      </c>
      <c r="H128" t="str" cm="1">
        <f t="array" ref="H128">_xlfn.IFS(C128&lt;=5, "0–5 years", C128&lt;=10, "6–10 years", C128&lt;=15, "11–15 years", C128&lt;=20, "16–20 years", TRUE, "21–25 years")</f>
        <v>0–5 years</v>
      </c>
    </row>
    <row r="129" spans="1:8" x14ac:dyDescent="0.3">
      <c r="A129" t="s">
        <v>1084</v>
      </c>
      <c r="B129" t="s">
        <v>39</v>
      </c>
      <c r="C129">
        <v>4</v>
      </c>
      <c r="D129" s="2">
        <v>96.74</v>
      </c>
      <c r="E129" t="s">
        <v>1043</v>
      </c>
      <c r="F129" s="11">
        <v>801.38</v>
      </c>
      <c r="G129">
        <f>Meter[[#This Row],[EstimatedLoss_RM]]/0.8</f>
        <v>1001.7249999999999</v>
      </c>
      <c r="H129" t="str" cm="1">
        <f t="array" ref="H129">_xlfn.IFS(C129&lt;=5, "0–5 years", C129&lt;=10, "6–10 years", C129&lt;=15, "11–15 years", C129&lt;=20, "16–20 years", TRUE, "21–25 years")</f>
        <v>0–5 years</v>
      </c>
    </row>
    <row r="130" spans="1:8" x14ac:dyDescent="0.3">
      <c r="A130" t="s">
        <v>1917</v>
      </c>
      <c r="B130" t="s">
        <v>46</v>
      </c>
      <c r="C130">
        <v>3</v>
      </c>
      <c r="D130" s="9">
        <v>96.73</v>
      </c>
      <c r="E130" t="s">
        <v>1041</v>
      </c>
      <c r="F130" s="10">
        <v>804.94</v>
      </c>
      <c r="G130">
        <f>Meter[[#This Row],[EstimatedLoss_RM]]/0.8</f>
        <v>1006.1750000000001</v>
      </c>
      <c r="H130" t="str" cm="1">
        <f t="array" ref="H130">_xlfn.IFS(C130&lt;=5, "0–5 years", C130&lt;=10, "6–10 years", C130&lt;=15, "11–15 years", C130&lt;=20, "16–20 years", TRUE, "21–25 years")</f>
        <v>0–5 years</v>
      </c>
    </row>
    <row r="131" spans="1:8" x14ac:dyDescent="0.3">
      <c r="A131" t="s">
        <v>1205</v>
      </c>
      <c r="B131" t="s">
        <v>52</v>
      </c>
      <c r="C131">
        <v>9</v>
      </c>
      <c r="D131" s="2">
        <v>96.72</v>
      </c>
      <c r="E131" t="s">
        <v>1045</v>
      </c>
      <c r="F131" s="11">
        <v>808.49</v>
      </c>
      <c r="G131">
        <f>Meter[[#This Row],[EstimatedLoss_RM]]/0.8</f>
        <v>1010.6125</v>
      </c>
      <c r="H131" t="str" cm="1">
        <f t="array" ref="H131">_xlfn.IFS(C131&lt;=5, "0–5 years", C131&lt;=10, "6–10 years", C131&lt;=15, "11–15 years", C131&lt;=20, "16–20 years", TRUE, "21–25 years")</f>
        <v>6–10 years</v>
      </c>
    </row>
    <row r="132" spans="1:8" x14ac:dyDescent="0.3">
      <c r="A132" t="s">
        <v>1709</v>
      </c>
      <c r="B132" t="s">
        <v>40</v>
      </c>
      <c r="C132">
        <v>2</v>
      </c>
      <c r="D132" s="9">
        <v>96.69</v>
      </c>
      <c r="E132" t="s">
        <v>1043</v>
      </c>
      <c r="F132" s="10">
        <v>811.97</v>
      </c>
      <c r="G132">
        <f>Meter[[#This Row],[EstimatedLoss_RM]]/0.8</f>
        <v>1014.9625</v>
      </c>
      <c r="H132" t="str" cm="1">
        <f t="array" ref="H132">_xlfn.IFS(C132&lt;=5, "0–5 years", C132&lt;=10, "6–10 years", C132&lt;=15, "11–15 years", C132&lt;=20, "16–20 years", TRUE, "21–25 years")</f>
        <v>0–5 years</v>
      </c>
    </row>
    <row r="133" spans="1:8" x14ac:dyDescent="0.3">
      <c r="A133" t="s">
        <v>1690</v>
      </c>
      <c r="B133" t="s">
        <v>43</v>
      </c>
      <c r="C133">
        <v>3</v>
      </c>
      <c r="D133" s="2">
        <v>96.69</v>
      </c>
      <c r="E133" t="s">
        <v>1041</v>
      </c>
      <c r="F133" s="11">
        <v>817.58</v>
      </c>
      <c r="G133">
        <f>Meter[[#This Row],[EstimatedLoss_RM]]/0.8</f>
        <v>1021.975</v>
      </c>
      <c r="H133" t="str" cm="1">
        <f t="array" ref="H133">_xlfn.IFS(C133&lt;=5, "0–5 years", C133&lt;=10, "6–10 years", C133&lt;=15, "11–15 years", C133&lt;=20, "16–20 years", TRUE, "21–25 years")</f>
        <v>0–5 years</v>
      </c>
    </row>
    <row r="134" spans="1:8" x14ac:dyDescent="0.3">
      <c r="A134" t="s">
        <v>1629</v>
      </c>
      <c r="B134" t="s">
        <v>45</v>
      </c>
      <c r="C134">
        <v>1</v>
      </c>
      <c r="D134" s="9">
        <v>96.68</v>
      </c>
      <c r="E134" t="s">
        <v>1045</v>
      </c>
      <c r="F134" s="10">
        <v>821.97</v>
      </c>
      <c r="G134">
        <f>Meter[[#This Row],[EstimatedLoss_RM]]/0.8</f>
        <v>1027.4624999999999</v>
      </c>
      <c r="H134" t="str" cm="1">
        <f t="array" ref="H134">_xlfn.IFS(C134&lt;=5, "0–5 years", C134&lt;=10, "6–10 years", C134&lt;=15, "11–15 years", C134&lt;=20, "16–20 years", TRUE, "21–25 years")</f>
        <v>0–5 years</v>
      </c>
    </row>
    <row r="135" spans="1:8" x14ac:dyDescent="0.3">
      <c r="A135" t="s">
        <v>1846</v>
      </c>
      <c r="B135" t="s">
        <v>50</v>
      </c>
      <c r="C135">
        <v>1</v>
      </c>
      <c r="D135" s="2">
        <v>96.68</v>
      </c>
      <c r="E135" t="s">
        <v>1041</v>
      </c>
      <c r="F135" s="11">
        <v>831.53</v>
      </c>
      <c r="G135">
        <f>Meter[[#This Row],[EstimatedLoss_RM]]/0.8</f>
        <v>1039.4124999999999</v>
      </c>
      <c r="H135" t="str" cm="1">
        <f t="array" ref="H135">_xlfn.IFS(C135&lt;=5, "0–5 years", C135&lt;=10, "6–10 years", C135&lt;=15, "11–15 years", C135&lt;=20, "16–20 years", TRUE, "21–25 years")</f>
        <v>0–5 years</v>
      </c>
    </row>
    <row r="136" spans="1:8" x14ac:dyDescent="0.3">
      <c r="A136" t="s">
        <v>1221</v>
      </c>
      <c r="B136" t="s">
        <v>42</v>
      </c>
      <c r="C136">
        <v>2</v>
      </c>
      <c r="D136" s="9">
        <v>96.67</v>
      </c>
      <c r="E136" t="s">
        <v>1041</v>
      </c>
      <c r="F136" s="10">
        <v>843.57</v>
      </c>
      <c r="G136">
        <f>Meter[[#This Row],[EstimatedLoss_RM]]/0.8</f>
        <v>1054.4625000000001</v>
      </c>
      <c r="H136" t="str" cm="1">
        <f t="array" ref="H136">_xlfn.IFS(C136&lt;=5, "0–5 years", C136&lt;=10, "6–10 years", C136&lt;=15, "11–15 years", C136&lt;=20, "16–20 years", TRUE, "21–25 years")</f>
        <v>0–5 years</v>
      </c>
    </row>
    <row r="137" spans="1:8" x14ac:dyDescent="0.3">
      <c r="A137" t="s">
        <v>1101</v>
      </c>
      <c r="B137" t="s">
        <v>41</v>
      </c>
      <c r="C137">
        <v>5</v>
      </c>
      <c r="D137" s="2">
        <v>96.66</v>
      </c>
      <c r="E137" t="s">
        <v>1041</v>
      </c>
      <c r="F137" s="11">
        <v>845.76</v>
      </c>
      <c r="G137">
        <f>Meter[[#This Row],[EstimatedLoss_RM]]/0.8</f>
        <v>1057.1999999999998</v>
      </c>
      <c r="H137" t="str" cm="1">
        <f t="array" ref="H137">_xlfn.IFS(C137&lt;=5, "0–5 years", C137&lt;=10, "6–10 years", C137&lt;=15, "11–15 years", C137&lt;=20, "16–20 years", TRUE, "21–25 years")</f>
        <v>0–5 years</v>
      </c>
    </row>
    <row r="138" spans="1:8" x14ac:dyDescent="0.3">
      <c r="A138" t="s">
        <v>1872</v>
      </c>
      <c r="B138" t="s">
        <v>43</v>
      </c>
      <c r="C138">
        <v>2</v>
      </c>
      <c r="D138" s="9">
        <v>96.64</v>
      </c>
      <c r="E138" t="s">
        <v>1041</v>
      </c>
      <c r="F138" s="10">
        <v>879.91</v>
      </c>
      <c r="G138">
        <f>Meter[[#This Row],[EstimatedLoss_RM]]/0.8</f>
        <v>1099.8874999999998</v>
      </c>
      <c r="H138" t="str" cm="1">
        <f t="array" ref="H138">_xlfn.IFS(C138&lt;=5, "0–5 years", C138&lt;=10, "6–10 years", C138&lt;=15, "11–15 years", C138&lt;=20, "16–20 years", TRUE, "21–25 years")</f>
        <v>0–5 years</v>
      </c>
    </row>
    <row r="139" spans="1:8" x14ac:dyDescent="0.3">
      <c r="A139" t="s">
        <v>1451</v>
      </c>
      <c r="B139" t="s">
        <v>43</v>
      </c>
      <c r="C139">
        <v>4</v>
      </c>
      <c r="D139" s="2">
        <v>96.64</v>
      </c>
      <c r="E139" t="s">
        <v>1045</v>
      </c>
      <c r="F139" s="11">
        <v>874.6</v>
      </c>
      <c r="G139">
        <f>Meter[[#This Row],[EstimatedLoss_RM]]/0.8</f>
        <v>1093.25</v>
      </c>
      <c r="H139" t="str" cm="1">
        <f t="array" ref="H139">_xlfn.IFS(C139&lt;=5, "0–5 years", C139&lt;=10, "6–10 years", C139&lt;=15, "11–15 years", C139&lt;=20, "16–20 years", TRUE, "21–25 years")</f>
        <v>0–5 years</v>
      </c>
    </row>
    <row r="140" spans="1:8" x14ac:dyDescent="0.3">
      <c r="A140" t="s">
        <v>1476</v>
      </c>
      <c r="B140" t="s">
        <v>46</v>
      </c>
      <c r="C140">
        <v>7</v>
      </c>
      <c r="D140" s="9">
        <v>96.64</v>
      </c>
      <c r="E140" t="s">
        <v>1041</v>
      </c>
      <c r="F140" s="10">
        <v>867.57</v>
      </c>
      <c r="G140">
        <f>Meter[[#This Row],[EstimatedLoss_RM]]/0.8</f>
        <v>1084.4625000000001</v>
      </c>
      <c r="H140" t="str" cm="1">
        <f t="array" ref="H140">_xlfn.IFS(C140&lt;=5, "0–5 years", C140&lt;=10, "6–10 years", C140&lt;=15, "11–15 years", C140&lt;=20, "16–20 years", TRUE, "21–25 years")</f>
        <v>6–10 years</v>
      </c>
    </row>
    <row r="141" spans="1:8" x14ac:dyDescent="0.3">
      <c r="A141" t="s">
        <v>1723</v>
      </c>
      <c r="B141" t="s">
        <v>43</v>
      </c>
      <c r="C141">
        <v>7</v>
      </c>
      <c r="D141" s="2">
        <v>96.64</v>
      </c>
      <c r="E141" t="s">
        <v>1043</v>
      </c>
      <c r="F141" s="11">
        <v>880.83</v>
      </c>
      <c r="G141">
        <f>Meter[[#This Row],[EstimatedLoss_RM]]/0.8</f>
        <v>1101.0374999999999</v>
      </c>
      <c r="H141" t="str" cm="1">
        <f t="array" ref="H141">_xlfn.IFS(C141&lt;=5, "0–5 years", C141&lt;=10, "6–10 years", C141&lt;=15, "11–15 years", C141&lt;=20, "16–20 years", TRUE, "21–25 years")</f>
        <v>6–10 years</v>
      </c>
    </row>
    <row r="142" spans="1:8" x14ac:dyDescent="0.3">
      <c r="A142" t="s">
        <v>1386</v>
      </c>
      <c r="B142" t="s">
        <v>38</v>
      </c>
      <c r="C142">
        <v>1</v>
      </c>
      <c r="D142" s="9">
        <v>96.59</v>
      </c>
      <c r="E142" t="s">
        <v>1041</v>
      </c>
      <c r="F142" s="10">
        <v>888.98</v>
      </c>
      <c r="G142">
        <f>Meter[[#This Row],[EstimatedLoss_RM]]/0.8</f>
        <v>1111.2249999999999</v>
      </c>
      <c r="H142" t="str" cm="1">
        <f t="array" ref="H142">_xlfn.IFS(C142&lt;=5, "0–5 years", C142&lt;=10, "6–10 years", C142&lt;=15, "11–15 years", C142&lt;=20, "16–20 years", TRUE, "21–25 years")</f>
        <v>0–5 years</v>
      </c>
    </row>
    <row r="143" spans="1:8" x14ac:dyDescent="0.3">
      <c r="A143" t="s">
        <v>1672</v>
      </c>
      <c r="B143" t="s">
        <v>53</v>
      </c>
      <c r="C143">
        <v>9</v>
      </c>
      <c r="D143" s="2">
        <v>96.59</v>
      </c>
      <c r="E143" t="s">
        <v>1041</v>
      </c>
      <c r="F143" s="11">
        <v>894.17</v>
      </c>
      <c r="G143">
        <f>Meter[[#This Row],[EstimatedLoss_RM]]/0.8</f>
        <v>1117.7124999999999</v>
      </c>
      <c r="H143" t="str" cm="1">
        <f t="array" ref="H143">_xlfn.IFS(C143&lt;=5, "0–5 years", C143&lt;=10, "6–10 years", C143&lt;=15, "11–15 years", C143&lt;=20, "16–20 years", TRUE, "21–25 years")</f>
        <v>6–10 years</v>
      </c>
    </row>
    <row r="144" spans="1:8" x14ac:dyDescent="0.3">
      <c r="A144" t="s">
        <v>1272</v>
      </c>
      <c r="B144" t="s">
        <v>40</v>
      </c>
      <c r="C144">
        <v>7</v>
      </c>
      <c r="D144" s="9">
        <v>96.56</v>
      </c>
      <c r="E144" t="s">
        <v>1043</v>
      </c>
      <c r="F144" s="10">
        <v>896.53</v>
      </c>
      <c r="G144">
        <f>Meter[[#This Row],[EstimatedLoss_RM]]/0.8</f>
        <v>1120.6624999999999</v>
      </c>
      <c r="H144" t="str" cm="1">
        <f t="array" ref="H144">_xlfn.IFS(C144&lt;=5, "0–5 years", C144&lt;=10, "6–10 years", C144&lt;=15, "11–15 years", C144&lt;=20, "16–20 years", TRUE, "21–25 years")</f>
        <v>6–10 years</v>
      </c>
    </row>
    <row r="145" spans="1:8" x14ac:dyDescent="0.3">
      <c r="A145" t="s">
        <v>1648</v>
      </c>
      <c r="B145" t="s">
        <v>38</v>
      </c>
      <c r="C145">
        <v>13</v>
      </c>
      <c r="D145" s="2">
        <v>96.55</v>
      </c>
      <c r="E145" t="s">
        <v>1045</v>
      </c>
      <c r="F145" s="11">
        <v>899.23</v>
      </c>
      <c r="G145">
        <f>Meter[[#This Row],[EstimatedLoss_RM]]/0.8</f>
        <v>1124.0374999999999</v>
      </c>
      <c r="H145" t="str" cm="1">
        <f t="array" ref="H145">_xlfn.IFS(C145&lt;=5, "0–5 years", C145&lt;=10, "6–10 years", C145&lt;=15, "11–15 years", C145&lt;=20, "16–20 years", TRUE, "21–25 years")</f>
        <v>11–15 years</v>
      </c>
    </row>
    <row r="146" spans="1:8" x14ac:dyDescent="0.3">
      <c r="A146" t="s">
        <v>1462</v>
      </c>
      <c r="B146" t="s">
        <v>45</v>
      </c>
      <c r="C146">
        <v>4</v>
      </c>
      <c r="D146" s="9">
        <v>96.54</v>
      </c>
      <c r="E146" t="s">
        <v>1045</v>
      </c>
      <c r="F146" s="10">
        <v>916.63</v>
      </c>
      <c r="G146">
        <f>Meter[[#This Row],[EstimatedLoss_RM]]/0.8</f>
        <v>1145.7874999999999</v>
      </c>
      <c r="H146" t="str" cm="1">
        <f t="array" ref="H146">_xlfn.IFS(C146&lt;=5, "0–5 years", C146&lt;=10, "6–10 years", C146&lt;=15, "11–15 years", C146&lt;=20, "16–20 years", TRUE, "21–25 years")</f>
        <v>0–5 years</v>
      </c>
    </row>
    <row r="147" spans="1:8" x14ac:dyDescent="0.3">
      <c r="A147" t="s">
        <v>1488</v>
      </c>
      <c r="B147" t="s">
        <v>50</v>
      </c>
      <c r="C147">
        <v>7</v>
      </c>
      <c r="D147" s="2">
        <v>96.54</v>
      </c>
      <c r="E147" t="s">
        <v>1043</v>
      </c>
      <c r="F147" s="11">
        <v>907.35</v>
      </c>
      <c r="G147">
        <f>Meter[[#This Row],[EstimatedLoss_RM]]/0.8</f>
        <v>1134.1875</v>
      </c>
      <c r="H147" t="str" cm="1">
        <f t="array" ref="H147">_xlfn.IFS(C147&lt;=5, "0–5 years", C147&lt;=10, "6–10 years", C147&lt;=15, "11–15 years", C147&lt;=20, "16–20 years", TRUE, "21–25 years")</f>
        <v>6–10 years</v>
      </c>
    </row>
    <row r="148" spans="1:8" x14ac:dyDescent="0.3">
      <c r="A148" t="s">
        <v>1645</v>
      </c>
      <c r="B148" t="s">
        <v>40</v>
      </c>
      <c r="C148">
        <v>8</v>
      </c>
      <c r="D148" s="9">
        <v>96.54</v>
      </c>
      <c r="E148" t="s">
        <v>1043</v>
      </c>
      <c r="F148" s="10">
        <v>903.44</v>
      </c>
      <c r="G148">
        <f>Meter[[#This Row],[EstimatedLoss_RM]]/0.8</f>
        <v>1129.3</v>
      </c>
      <c r="H148" t="str" cm="1">
        <f t="array" ref="H148">_xlfn.IFS(C148&lt;=5, "0–5 years", C148&lt;=10, "6–10 years", C148&lt;=15, "11–15 years", C148&lt;=20, "16–20 years", TRUE, "21–25 years")</f>
        <v>6–10 years</v>
      </c>
    </row>
    <row r="149" spans="1:8" x14ac:dyDescent="0.3">
      <c r="A149" t="s">
        <v>1155</v>
      </c>
      <c r="B149" t="s">
        <v>50</v>
      </c>
      <c r="C149">
        <v>4</v>
      </c>
      <c r="D149" s="2">
        <v>96.52</v>
      </c>
      <c r="E149" t="s">
        <v>1045</v>
      </c>
      <c r="F149" s="11">
        <v>925.19</v>
      </c>
      <c r="G149">
        <f>Meter[[#This Row],[EstimatedLoss_RM]]/0.8</f>
        <v>1156.4875</v>
      </c>
      <c r="H149" t="str" cm="1">
        <f t="array" ref="H149">_xlfn.IFS(C149&lt;=5, "0–5 years", C149&lt;=10, "6–10 years", C149&lt;=15, "11–15 years", C149&lt;=20, "16–20 years", TRUE, "21–25 years")</f>
        <v>0–5 years</v>
      </c>
    </row>
    <row r="150" spans="1:8" x14ac:dyDescent="0.3">
      <c r="A150" t="s">
        <v>1911</v>
      </c>
      <c r="B150" t="s">
        <v>42</v>
      </c>
      <c r="C150">
        <v>7</v>
      </c>
      <c r="D150" s="9">
        <v>96.52</v>
      </c>
      <c r="E150" t="s">
        <v>1045</v>
      </c>
      <c r="F150" s="10">
        <v>918.92</v>
      </c>
      <c r="G150">
        <f>Meter[[#This Row],[EstimatedLoss_RM]]/0.8</f>
        <v>1148.6499999999999</v>
      </c>
      <c r="H150" t="str" cm="1">
        <f t="array" ref="H150">_xlfn.IFS(C150&lt;=5, "0–5 years", C150&lt;=10, "6–10 years", C150&lt;=15, "11–15 years", C150&lt;=20, "16–20 years", TRUE, "21–25 years")</f>
        <v>6–10 years</v>
      </c>
    </row>
    <row r="151" spans="1:8" x14ac:dyDescent="0.3">
      <c r="A151" t="s">
        <v>1851</v>
      </c>
      <c r="B151" t="s">
        <v>50</v>
      </c>
      <c r="C151">
        <v>10</v>
      </c>
      <c r="D151" s="2">
        <v>96.51</v>
      </c>
      <c r="E151" t="s">
        <v>1045</v>
      </c>
      <c r="F151" s="11">
        <v>927.01</v>
      </c>
      <c r="G151">
        <f>Meter[[#This Row],[EstimatedLoss_RM]]/0.8</f>
        <v>1158.7624999999998</v>
      </c>
      <c r="H151" t="str" cm="1">
        <f t="array" ref="H151">_xlfn.IFS(C151&lt;=5, "0–5 years", C151&lt;=10, "6–10 years", C151&lt;=15, "11–15 years", C151&lt;=20, "16–20 years", TRUE, "21–25 years")</f>
        <v>6–10 years</v>
      </c>
    </row>
    <row r="152" spans="1:8" x14ac:dyDescent="0.3">
      <c r="A152" t="s">
        <v>1446</v>
      </c>
      <c r="B152" t="s">
        <v>46</v>
      </c>
      <c r="C152">
        <v>4</v>
      </c>
      <c r="D152" s="9">
        <v>96.49</v>
      </c>
      <c r="E152" t="s">
        <v>1045</v>
      </c>
      <c r="F152" s="10">
        <v>932.03</v>
      </c>
      <c r="G152">
        <f>Meter[[#This Row],[EstimatedLoss_RM]]/0.8</f>
        <v>1165.0374999999999</v>
      </c>
      <c r="H152" t="str" cm="1">
        <f t="array" ref="H152">_xlfn.IFS(C152&lt;=5, "0–5 years", C152&lt;=10, "6–10 years", C152&lt;=15, "11–15 years", C152&lt;=20, "16–20 years", TRUE, "21–25 years")</f>
        <v>0–5 years</v>
      </c>
    </row>
    <row r="153" spans="1:8" x14ac:dyDescent="0.3">
      <c r="A153" t="s">
        <v>1301</v>
      </c>
      <c r="B153" t="s">
        <v>39</v>
      </c>
      <c r="C153">
        <v>6</v>
      </c>
      <c r="D153" s="2">
        <v>96.49</v>
      </c>
      <c r="E153" t="s">
        <v>1041</v>
      </c>
      <c r="F153" s="11">
        <v>929.78</v>
      </c>
      <c r="G153">
        <f>Meter[[#This Row],[EstimatedLoss_RM]]/0.8</f>
        <v>1162.2249999999999</v>
      </c>
      <c r="H153" t="str" cm="1">
        <f t="array" ref="H153">_xlfn.IFS(C153&lt;=5, "0–5 years", C153&lt;=10, "6–10 years", C153&lt;=15, "11–15 years", C153&lt;=20, "16–20 years", TRUE, "21–25 years")</f>
        <v>6–10 years</v>
      </c>
    </row>
    <row r="154" spans="1:8" x14ac:dyDescent="0.3">
      <c r="A154" t="s">
        <v>1926</v>
      </c>
      <c r="B154" t="s">
        <v>48</v>
      </c>
      <c r="C154">
        <v>9</v>
      </c>
      <c r="D154" s="9">
        <v>96.49</v>
      </c>
      <c r="E154" t="s">
        <v>1041</v>
      </c>
      <c r="F154" s="10">
        <v>933.72</v>
      </c>
      <c r="G154">
        <f>Meter[[#This Row],[EstimatedLoss_RM]]/0.8</f>
        <v>1167.1499999999999</v>
      </c>
      <c r="H154" t="str" cm="1">
        <f t="array" ref="H154">_xlfn.IFS(C154&lt;=5, "0–5 years", C154&lt;=10, "6–10 years", C154&lt;=15, "11–15 years", C154&lt;=20, "16–20 years", TRUE, "21–25 years")</f>
        <v>6–10 years</v>
      </c>
    </row>
    <row r="155" spans="1:8" x14ac:dyDescent="0.3">
      <c r="A155" t="s">
        <v>1147</v>
      </c>
      <c r="B155" t="s">
        <v>47</v>
      </c>
      <c r="C155">
        <v>3</v>
      </c>
      <c r="D155" s="2">
        <v>96.48</v>
      </c>
      <c r="E155" t="s">
        <v>1045</v>
      </c>
      <c r="F155" s="11">
        <v>934.97</v>
      </c>
      <c r="G155">
        <f>Meter[[#This Row],[EstimatedLoss_RM]]/0.8</f>
        <v>1168.7124999999999</v>
      </c>
      <c r="H155" t="str" cm="1">
        <f t="array" ref="H155">_xlfn.IFS(C155&lt;=5, "0–5 years", C155&lt;=10, "6–10 years", C155&lt;=15, "11–15 years", C155&lt;=20, "16–20 years", TRUE, "21–25 years")</f>
        <v>0–5 years</v>
      </c>
    </row>
    <row r="156" spans="1:8" x14ac:dyDescent="0.3">
      <c r="A156" t="s">
        <v>1170</v>
      </c>
      <c r="B156" t="s">
        <v>38</v>
      </c>
      <c r="C156">
        <v>1</v>
      </c>
      <c r="D156" s="9">
        <v>96.47</v>
      </c>
      <c r="E156" t="s">
        <v>1045</v>
      </c>
      <c r="F156" s="10">
        <v>948.12</v>
      </c>
      <c r="G156">
        <f>Meter[[#This Row],[EstimatedLoss_RM]]/0.8</f>
        <v>1185.1499999999999</v>
      </c>
      <c r="H156" t="str" cm="1">
        <f t="array" ref="H156">_xlfn.IFS(C156&lt;=5, "0–5 years", C156&lt;=10, "6–10 years", C156&lt;=15, "11–15 years", C156&lt;=20, "16–20 years", TRUE, "21–25 years")</f>
        <v>0–5 years</v>
      </c>
    </row>
    <row r="157" spans="1:8" x14ac:dyDescent="0.3">
      <c r="A157" t="s">
        <v>1913</v>
      </c>
      <c r="B157" t="s">
        <v>49</v>
      </c>
      <c r="C157">
        <v>3</v>
      </c>
      <c r="D157" s="2">
        <v>96.45</v>
      </c>
      <c r="E157" t="s">
        <v>1045</v>
      </c>
      <c r="F157" s="11">
        <v>950.94</v>
      </c>
      <c r="G157">
        <f>Meter[[#This Row],[EstimatedLoss_RM]]/0.8</f>
        <v>1188.675</v>
      </c>
      <c r="H157" t="str" cm="1">
        <f t="array" ref="H157">_xlfn.IFS(C157&lt;=5, "0–5 years", C157&lt;=10, "6–10 years", C157&lt;=15, "11–15 years", C157&lt;=20, "16–20 years", TRUE, "21–25 years")</f>
        <v>0–5 years</v>
      </c>
    </row>
    <row r="158" spans="1:8" x14ac:dyDescent="0.3">
      <c r="A158" t="s">
        <v>1769</v>
      </c>
      <c r="B158" t="s">
        <v>46</v>
      </c>
      <c r="C158">
        <v>4</v>
      </c>
      <c r="D158" s="9">
        <v>96.44</v>
      </c>
      <c r="E158" t="s">
        <v>1045</v>
      </c>
      <c r="F158" s="10">
        <v>957.46</v>
      </c>
      <c r="G158">
        <f>Meter[[#This Row],[EstimatedLoss_RM]]/0.8</f>
        <v>1196.825</v>
      </c>
      <c r="H158" t="str" cm="1">
        <f t="array" ref="H158">_xlfn.IFS(C158&lt;=5, "0–5 years", C158&lt;=10, "6–10 years", C158&lt;=15, "11–15 years", C158&lt;=20, "16–20 years", TRUE, "21–25 years")</f>
        <v>0–5 years</v>
      </c>
    </row>
    <row r="159" spans="1:8" x14ac:dyDescent="0.3">
      <c r="A159" t="s">
        <v>1908</v>
      </c>
      <c r="B159" t="s">
        <v>42</v>
      </c>
      <c r="C159">
        <v>2</v>
      </c>
      <c r="D159" s="2">
        <v>96.42</v>
      </c>
      <c r="E159" t="s">
        <v>1043</v>
      </c>
      <c r="F159" s="11">
        <v>960.56</v>
      </c>
      <c r="G159">
        <f>Meter[[#This Row],[EstimatedLoss_RM]]/0.8</f>
        <v>1200.6999999999998</v>
      </c>
      <c r="H159" t="str" cm="1">
        <f t="array" ref="H159">_xlfn.IFS(C159&lt;=5, "0–5 years", C159&lt;=10, "6–10 years", C159&lt;=15, "11–15 years", C159&lt;=20, "16–20 years", TRUE, "21–25 years")</f>
        <v>0–5 years</v>
      </c>
    </row>
    <row r="160" spans="1:8" x14ac:dyDescent="0.3">
      <c r="A160" t="s">
        <v>1292</v>
      </c>
      <c r="B160" t="s">
        <v>44</v>
      </c>
      <c r="C160">
        <v>6</v>
      </c>
      <c r="D160" s="9">
        <v>96.41</v>
      </c>
      <c r="E160" t="s">
        <v>1045</v>
      </c>
      <c r="F160" s="10">
        <v>975.03</v>
      </c>
      <c r="G160">
        <f>Meter[[#This Row],[EstimatedLoss_RM]]/0.8</f>
        <v>1218.7874999999999</v>
      </c>
      <c r="H160" t="str" cm="1">
        <f t="array" ref="H160">_xlfn.IFS(C160&lt;=5, "0–5 years", C160&lt;=10, "6–10 years", C160&lt;=15, "11–15 years", C160&lt;=20, "16–20 years", TRUE, "21–25 years")</f>
        <v>6–10 years</v>
      </c>
    </row>
    <row r="161" spans="1:8" x14ac:dyDescent="0.3">
      <c r="A161" t="s">
        <v>1110</v>
      </c>
      <c r="B161" t="s">
        <v>46</v>
      </c>
      <c r="C161">
        <v>9</v>
      </c>
      <c r="D161" s="2">
        <v>96.41</v>
      </c>
      <c r="E161" t="s">
        <v>1045</v>
      </c>
      <c r="F161" s="11">
        <v>968.28</v>
      </c>
      <c r="G161">
        <f>Meter[[#This Row],[EstimatedLoss_RM]]/0.8</f>
        <v>1210.3499999999999</v>
      </c>
      <c r="H161" t="str" cm="1">
        <f t="array" ref="H161">_xlfn.IFS(C161&lt;=5, "0–5 years", C161&lt;=10, "6–10 years", C161&lt;=15, "11–15 years", C161&lt;=20, "16–20 years", TRUE, "21–25 years")</f>
        <v>6–10 years</v>
      </c>
    </row>
    <row r="162" spans="1:8" x14ac:dyDescent="0.3">
      <c r="A162" t="s">
        <v>1071</v>
      </c>
      <c r="B162" t="s">
        <v>46</v>
      </c>
      <c r="C162">
        <v>1</v>
      </c>
      <c r="D162" s="9">
        <v>96.4</v>
      </c>
      <c r="E162" t="s">
        <v>1041</v>
      </c>
      <c r="F162" s="10">
        <v>979.87</v>
      </c>
      <c r="G162">
        <f>Meter[[#This Row],[EstimatedLoss_RM]]/0.8</f>
        <v>1224.8374999999999</v>
      </c>
      <c r="H162" t="str" cm="1">
        <f t="array" ref="H162">_xlfn.IFS(C162&lt;=5, "0–5 years", C162&lt;=10, "6–10 years", C162&lt;=15, "11–15 years", C162&lt;=20, "16–20 years", TRUE, "21–25 years")</f>
        <v>0–5 years</v>
      </c>
    </row>
    <row r="163" spans="1:8" x14ac:dyDescent="0.3">
      <c r="A163" t="s">
        <v>1773</v>
      </c>
      <c r="B163" t="s">
        <v>52</v>
      </c>
      <c r="C163">
        <v>5</v>
      </c>
      <c r="D163" s="2">
        <v>96.39</v>
      </c>
      <c r="E163" t="s">
        <v>1041</v>
      </c>
      <c r="F163" s="11">
        <v>996.25</v>
      </c>
      <c r="G163">
        <f>Meter[[#This Row],[EstimatedLoss_RM]]/0.8</f>
        <v>1245.3125</v>
      </c>
      <c r="H163" t="str" cm="1">
        <f t="array" ref="H163">_xlfn.IFS(C163&lt;=5, "0–5 years", C163&lt;=10, "6–10 years", C163&lt;=15, "11–15 years", C163&lt;=20, "16–20 years", TRUE, "21–25 years")</f>
        <v>0–5 years</v>
      </c>
    </row>
    <row r="164" spans="1:8" x14ac:dyDescent="0.3">
      <c r="A164" t="s">
        <v>1533</v>
      </c>
      <c r="B164" t="s">
        <v>45</v>
      </c>
      <c r="C164">
        <v>4</v>
      </c>
      <c r="D164" s="9">
        <v>96.38</v>
      </c>
      <c r="E164" t="s">
        <v>1045</v>
      </c>
      <c r="F164" s="10">
        <v>998.6</v>
      </c>
      <c r="G164">
        <f>Meter[[#This Row],[EstimatedLoss_RM]]/0.8</f>
        <v>1248.25</v>
      </c>
      <c r="H164" t="str" cm="1">
        <f t="array" ref="H164">_xlfn.IFS(C164&lt;=5, "0–5 years", C164&lt;=10, "6–10 years", C164&lt;=15, "11–15 years", C164&lt;=20, "16–20 years", TRUE, "21–25 years")</f>
        <v>0–5 years</v>
      </c>
    </row>
    <row r="165" spans="1:8" x14ac:dyDescent="0.3">
      <c r="A165" t="s">
        <v>1144</v>
      </c>
      <c r="B165" t="s">
        <v>53</v>
      </c>
      <c r="C165">
        <v>2</v>
      </c>
      <c r="D165" s="2">
        <v>96.36</v>
      </c>
      <c r="E165" t="s">
        <v>1041</v>
      </c>
      <c r="F165" s="11">
        <v>1007.52</v>
      </c>
      <c r="G165">
        <f>Meter[[#This Row],[EstimatedLoss_RM]]/0.8</f>
        <v>1259.3999999999999</v>
      </c>
      <c r="H165" t="str" cm="1">
        <f t="array" ref="H165">_xlfn.IFS(C165&lt;=5, "0–5 years", C165&lt;=10, "6–10 years", C165&lt;=15, "11–15 years", C165&lt;=20, "16–20 years", TRUE, "21–25 years")</f>
        <v>0–5 years</v>
      </c>
    </row>
    <row r="166" spans="1:8" x14ac:dyDescent="0.3">
      <c r="A166" t="s">
        <v>1237</v>
      </c>
      <c r="B166" t="s">
        <v>44</v>
      </c>
      <c r="C166">
        <v>5</v>
      </c>
      <c r="D166" s="9">
        <v>96.35</v>
      </c>
      <c r="E166" t="s">
        <v>1041</v>
      </c>
      <c r="F166" s="10">
        <v>1021.31</v>
      </c>
      <c r="G166">
        <f>Meter[[#This Row],[EstimatedLoss_RM]]/0.8</f>
        <v>1276.6374999999998</v>
      </c>
      <c r="H166" t="str" cm="1">
        <f t="array" ref="H166">_xlfn.IFS(C166&lt;=5, "0–5 years", C166&lt;=10, "6–10 years", C166&lt;=15, "11–15 years", C166&lt;=20, "16–20 years", TRUE, "21–25 years")</f>
        <v>0–5 years</v>
      </c>
    </row>
    <row r="167" spans="1:8" x14ac:dyDescent="0.3">
      <c r="A167" t="s">
        <v>1302</v>
      </c>
      <c r="B167" t="s">
        <v>44</v>
      </c>
      <c r="C167">
        <v>8</v>
      </c>
      <c r="D167" s="2">
        <v>96.35</v>
      </c>
      <c r="E167" t="s">
        <v>1041</v>
      </c>
      <c r="F167" s="11">
        <v>1018.27</v>
      </c>
      <c r="G167">
        <f>Meter[[#This Row],[EstimatedLoss_RM]]/0.8</f>
        <v>1272.8374999999999</v>
      </c>
      <c r="H167" t="str" cm="1">
        <f t="array" ref="H167">_xlfn.IFS(C167&lt;=5, "0–5 years", C167&lt;=10, "6–10 years", C167&lt;=15, "11–15 years", C167&lt;=20, "16–20 years", TRUE, "21–25 years")</f>
        <v>6–10 years</v>
      </c>
    </row>
    <row r="168" spans="1:8" x14ac:dyDescent="0.3">
      <c r="A168" t="s">
        <v>1566</v>
      </c>
      <c r="B168" t="s">
        <v>39</v>
      </c>
      <c r="C168">
        <v>7</v>
      </c>
      <c r="D168" s="9">
        <v>96.34</v>
      </c>
      <c r="E168" t="s">
        <v>1045</v>
      </c>
      <c r="F168" s="10">
        <v>1027.1600000000001</v>
      </c>
      <c r="G168">
        <f>Meter[[#This Row],[EstimatedLoss_RM]]/0.8</f>
        <v>1283.95</v>
      </c>
      <c r="H168" t="str" cm="1">
        <f t="array" ref="H168">_xlfn.IFS(C168&lt;=5, "0–5 years", C168&lt;=10, "6–10 years", C168&lt;=15, "11–15 years", C168&lt;=20, "16–20 years", TRUE, "21–25 years")</f>
        <v>6–10 years</v>
      </c>
    </row>
    <row r="169" spans="1:8" x14ac:dyDescent="0.3">
      <c r="A169" t="s">
        <v>1620</v>
      </c>
      <c r="B169" t="s">
        <v>47</v>
      </c>
      <c r="C169">
        <v>8</v>
      </c>
      <c r="D169" s="2">
        <v>96.34</v>
      </c>
      <c r="E169" t="s">
        <v>1041</v>
      </c>
      <c r="F169" s="11">
        <v>1034.45</v>
      </c>
      <c r="G169">
        <f>Meter[[#This Row],[EstimatedLoss_RM]]/0.8</f>
        <v>1293.0625</v>
      </c>
      <c r="H169" t="str" cm="1">
        <f t="array" ref="H169">_xlfn.IFS(C169&lt;=5, "0–5 years", C169&lt;=10, "6–10 years", C169&lt;=15, "11–15 years", C169&lt;=20, "16–20 years", TRUE, "21–25 years")</f>
        <v>6–10 years</v>
      </c>
    </row>
    <row r="170" spans="1:8" x14ac:dyDescent="0.3">
      <c r="A170" t="s">
        <v>1595</v>
      </c>
      <c r="B170" t="s">
        <v>43</v>
      </c>
      <c r="C170">
        <v>10</v>
      </c>
      <c r="D170" s="9">
        <v>96.34</v>
      </c>
      <c r="E170" t="s">
        <v>1041</v>
      </c>
      <c r="F170" s="10">
        <v>1028.1600000000001</v>
      </c>
      <c r="G170">
        <f>Meter[[#This Row],[EstimatedLoss_RM]]/0.8</f>
        <v>1285.2</v>
      </c>
      <c r="H170" t="str" cm="1">
        <f t="array" ref="H170">_xlfn.IFS(C170&lt;=5, "0–5 years", C170&lt;=10, "6–10 years", C170&lt;=15, "11–15 years", C170&lt;=20, "16–20 years", TRUE, "21–25 years")</f>
        <v>6–10 years</v>
      </c>
    </row>
    <row r="171" spans="1:8" x14ac:dyDescent="0.3">
      <c r="A171" t="s">
        <v>1936</v>
      </c>
      <c r="B171" t="s">
        <v>48</v>
      </c>
      <c r="C171">
        <v>10</v>
      </c>
      <c r="D171" s="2">
        <v>96.34</v>
      </c>
      <c r="E171" t="s">
        <v>1041</v>
      </c>
      <c r="F171" s="11">
        <v>1028.43</v>
      </c>
      <c r="G171">
        <f>Meter[[#This Row],[EstimatedLoss_RM]]/0.8</f>
        <v>1285.5374999999999</v>
      </c>
      <c r="H171" t="str" cm="1">
        <f t="array" ref="H171">_xlfn.IFS(C171&lt;=5, "0–5 years", C171&lt;=10, "6–10 years", C171&lt;=15, "11–15 years", C171&lt;=20, "16–20 years", TRUE, "21–25 years")</f>
        <v>6–10 years</v>
      </c>
    </row>
    <row r="172" spans="1:8" x14ac:dyDescent="0.3">
      <c r="A172" t="s">
        <v>1260</v>
      </c>
      <c r="B172" t="s">
        <v>38</v>
      </c>
      <c r="C172">
        <v>3</v>
      </c>
      <c r="D172" s="9">
        <v>96.33</v>
      </c>
      <c r="E172" t="s">
        <v>1043</v>
      </c>
      <c r="F172" s="10">
        <v>1041.98</v>
      </c>
      <c r="G172">
        <f>Meter[[#This Row],[EstimatedLoss_RM]]/0.8</f>
        <v>1302.4749999999999</v>
      </c>
      <c r="H172" t="str" cm="1">
        <f t="array" ref="H172">_xlfn.IFS(C172&lt;=5, "0–5 years", C172&lt;=10, "6–10 years", C172&lt;=15, "11–15 years", C172&lt;=20, "16–20 years", TRUE, "21–25 years")</f>
        <v>0–5 years</v>
      </c>
    </row>
    <row r="173" spans="1:8" x14ac:dyDescent="0.3">
      <c r="A173" t="s">
        <v>1244</v>
      </c>
      <c r="B173" t="s">
        <v>44</v>
      </c>
      <c r="C173">
        <v>7</v>
      </c>
      <c r="D173" s="2">
        <v>96.32</v>
      </c>
      <c r="E173" t="s">
        <v>1043</v>
      </c>
      <c r="F173" s="11">
        <v>1051.43</v>
      </c>
      <c r="G173">
        <f>Meter[[#This Row],[EstimatedLoss_RM]]/0.8</f>
        <v>1314.2874999999999</v>
      </c>
      <c r="H173" t="str" cm="1">
        <f t="array" ref="H173">_xlfn.IFS(C173&lt;=5, "0–5 years", C173&lt;=10, "6–10 years", C173&lt;=15, "11–15 years", C173&lt;=20, "16–20 years", TRUE, "21–25 years")</f>
        <v>6–10 years</v>
      </c>
    </row>
    <row r="174" spans="1:8" x14ac:dyDescent="0.3">
      <c r="A174" t="s">
        <v>1465</v>
      </c>
      <c r="B174" t="s">
        <v>41</v>
      </c>
      <c r="C174">
        <v>3</v>
      </c>
      <c r="D174" s="9">
        <v>96.3</v>
      </c>
      <c r="E174" t="s">
        <v>1041</v>
      </c>
      <c r="F174" s="10">
        <v>1058.83</v>
      </c>
      <c r="G174">
        <f>Meter[[#This Row],[EstimatedLoss_RM]]/0.8</f>
        <v>1323.5374999999999</v>
      </c>
      <c r="H174" t="str" cm="1">
        <f t="array" ref="H174">_xlfn.IFS(C174&lt;=5, "0–5 years", C174&lt;=10, "6–10 years", C174&lt;=15, "11–15 years", C174&lt;=20, "16–20 years", TRUE, "21–25 years")</f>
        <v>0–5 years</v>
      </c>
    </row>
    <row r="175" spans="1:8" x14ac:dyDescent="0.3">
      <c r="A175" t="s">
        <v>1178</v>
      </c>
      <c r="B175" t="s">
        <v>41</v>
      </c>
      <c r="C175">
        <v>12</v>
      </c>
      <c r="D175" s="2">
        <v>96.3</v>
      </c>
      <c r="E175" t="s">
        <v>1045</v>
      </c>
      <c r="F175" s="11">
        <v>1066.81</v>
      </c>
      <c r="G175">
        <f>Meter[[#This Row],[EstimatedLoss_RM]]/0.8</f>
        <v>1333.5124999999998</v>
      </c>
      <c r="H175" t="str" cm="1">
        <f t="array" ref="H175">_xlfn.IFS(C175&lt;=5, "0–5 years", C175&lt;=10, "6–10 years", C175&lt;=15, "11–15 years", C175&lt;=20, "16–20 years", TRUE, "21–25 years")</f>
        <v>11–15 years</v>
      </c>
    </row>
    <row r="176" spans="1:8" x14ac:dyDescent="0.3">
      <c r="A176" t="s">
        <v>1585</v>
      </c>
      <c r="B176" t="s">
        <v>50</v>
      </c>
      <c r="C176">
        <v>7</v>
      </c>
      <c r="D176" s="9">
        <v>96.26</v>
      </c>
      <c r="E176" t="s">
        <v>1043</v>
      </c>
      <c r="F176" s="10">
        <v>1079.04</v>
      </c>
      <c r="G176">
        <f>Meter[[#This Row],[EstimatedLoss_RM]]/0.8</f>
        <v>1348.8</v>
      </c>
      <c r="H176" t="str" cm="1">
        <f t="array" ref="H176">_xlfn.IFS(C176&lt;=5, "0–5 years", C176&lt;=10, "6–10 years", C176&lt;=15, "11–15 years", C176&lt;=20, "16–20 years", TRUE, "21–25 years")</f>
        <v>6–10 years</v>
      </c>
    </row>
    <row r="177" spans="1:8" x14ac:dyDescent="0.3">
      <c r="A177" t="s">
        <v>1688</v>
      </c>
      <c r="B177" t="s">
        <v>49</v>
      </c>
      <c r="C177">
        <v>3</v>
      </c>
      <c r="D177" s="2">
        <v>96.25</v>
      </c>
      <c r="E177" t="s">
        <v>1041</v>
      </c>
      <c r="F177" s="11">
        <v>1080.94</v>
      </c>
      <c r="G177">
        <f>Meter[[#This Row],[EstimatedLoss_RM]]/0.8</f>
        <v>1351.175</v>
      </c>
      <c r="H177" t="str" cm="1">
        <f t="array" ref="H177">_xlfn.IFS(C177&lt;=5, "0–5 years", C177&lt;=10, "6–10 years", C177&lt;=15, "11–15 years", C177&lt;=20, "16–20 years", TRUE, "21–25 years")</f>
        <v>0–5 years</v>
      </c>
    </row>
    <row r="178" spans="1:8" x14ac:dyDescent="0.3">
      <c r="A178" t="s">
        <v>1093</v>
      </c>
      <c r="B178" t="s">
        <v>41</v>
      </c>
      <c r="C178">
        <v>6</v>
      </c>
      <c r="D178" s="9">
        <v>96.25</v>
      </c>
      <c r="E178" t="s">
        <v>1041</v>
      </c>
      <c r="F178" s="10">
        <v>1100.45</v>
      </c>
      <c r="G178">
        <f>Meter[[#This Row],[EstimatedLoss_RM]]/0.8</f>
        <v>1375.5625</v>
      </c>
      <c r="H178" t="str" cm="1">
        <f t="array" ref="H178">_xlfn.IFS(C178&lt;=5, "0–5 years", C178&lt;=10, "6–10 years", C178&lt;=15, "11–15 years", C178&lt;=20, "16–20 years", TRUE, "21–25 years")</f>
        <v>6–10 years</v>
      </c>
    </row>
    <row r="179" spans="1:8" x14ac:dyDescent="0.3">
      <c r="A179" t="s">
        <v>1403</v>
      </c>
      <c r="B179" t="s">
        <v>48</v>
      </c>
      <c r="C179">
        <v>7</v>
      </c>
      <c r="D179" s="2">
        <v>96.24</v>
      </c>
      <c r="E179" t="s">
        <v>1045</v>
      </c>
      <c r="F179" s="11">
        <v>1105.0999999999999</v>
      </c>
      <c r="G179">
        <f>Meter[[#This Row],[EstimatedLoss_RM]]/0.8</f>
        <v>1381.3749999999998</v>
      </c>
      <c r="H179" t="str" cm="1">
        <f t="array" ref="H179">_xlfn.IFS(C179&lt;=5, "0–5 years", C179&lt;=10, "6–10 years", C179&lt;=15, "11–15 years", C179&lt;=20, "16–20 years", TRUE, "21–25 years")</f>
        <v>6–10 years</v>
      </c>
    </row>
    <row r="180" spans="1:8" x14ac:dyDescent="0.3">
      <c r="A180" t="s">
        <v>1787</v>
      </c>
      <c r="B180" t="s">
        <v>41</v>
      </c>
      <c r="C180">
        <v>7</v>
      </c>
      <c r="D180" s="9">
        <v>96.24</v>
      </c>
      <c r="E180" t="s">
        <v>1041</v>
      </c>
      <c r="F180" s="10">
        <v>1107.52</v>
      </c>
      <c r="G180">
        <f>Meter[[#This Row],[EstimatedLoss_RM]]/0.8</f>
        <v>1384.3999999999999</v>
      </c>
      <c r="H180" t="str" cm="1">
        <f t="array" ref="H180">_xlfn.IFS(C180&lt;=5, "0–5 years", C180&lt;=10, "6–10 years", C180&lt;=15, "11–15 years", C180&lt;=20, "16–20 years", TRUE, "21–25 years")</f>
        <v>6–10 years</v>
      </c>
    </row>
    <row r="181" spans="1:8" x14ac:dyDescent="0.3">
      <c r="A181" t="s">
        <v>1544</v>
      </c>
      <c r="B181" t="s">
        <v>48</v>
      </c>
      <c r="C181">
        <v>14</v>
      </c>
      <c r="D181" s="2">
        <v>96.22</v>
      </c>
      <c r="E181" t="s">
        <v>1043</v>
      </c>
      <c r="F181" s="11">
        <v>1107.8499999999999</v>
      </c>
      <c r="G181">
        <f>Meter[[#This Row],[EstimatedLoss_RM]]/0.8</f>
        <v>1384.8124999999998</v>
      </c>
      <c r="H181" t="str" cm="1">
        <f t="array" ref="H181">_xlfn.IFS(C181&lt;=5, "0–5 years", C181&lt;=10, "6–10 years", C181&lt;=15, "11–15 years", C181&lt;=20, "16–20 years", TRUE, "21–25 years")</f>
        <v>11–15 years</v>
      </c>
    </row>
    <row r="182" spans="1:8" x14ac:dyDescent="0.3">
      <c r="A182" t="s">
        <v>1340</v>
      </c>
      <c r="B182" t="s">
        <v>42</v>
      </c>
      <c r="C182">
        <v>6</v>
      </c>
      <c r="D182" s="9">
        <v>96.21</v>
      </c>
      <c r="E182" t="s">
        <v>1041</v>
      </c>
      <c r="F182" s="10">
        <v>1110.75</v>
      </c>
      <c r="G182">
        <f>Meter[[#This Row],[EstimatedLoss_RM]]/0.8</f>
        <v>1388.4375</v>
      </c>
      <c r="H182" t="str" cm="1">
        <f t="array" ref="H182">_xlfn.IFS(C182&lt;=5, "0–5 years", C182&lt;=10, "6–10 years", C182&lt;=15, "11–15 years", C182&lt;=20, "16–20 years", TRUE, "21–25 years")</f>
        <v>6–10 years</v>
      </c>
    </row>
    <row r="183" spans="1:8" x14ac:dyDescent="0.3">
      <c r="A183" t="s">
        <v>1456</v>
      </c>
      <c r="B183" t="s">
        <v>39</v>
      </c>
      <c r="C183">
        <v>11</v>
      </c>
      <c r="D183" s="2">
        <v>96.16</v>
      </c>
      <c r="E183" t="s">
        <v>1043</v>
      </c>
      <c r="F183" s="11">
        <v>1117.18</v>
      </c>
      <c r="G183">
        <f>Meter[[#This Row],[EstimatedLoss_RM]]/0.8</f>
        <v>1396.4749999999999</v>
      </c>
      <c r="H183" t="str" cm="1">
        <f t="array" ref="H183">_xlfn.IFS(C183&lt;=5, "0–5 years", C183&lt;=10, "6–10 years", C183&lt;=15, "11–15 years", C183&lt;=20, "16–20 years", TRUE, "21–25 years")</f>
        <v>11–15 years</v>
      </c>
    </row>
    <row r="184" spans="1:8" x14ac:dyDescent="0.3">
      <c r="A184" t="s">
        <v>1229</v>
      </c>
      <c r="B184" t="s">
        <v>47</v>
      </c>
      <c r="C184">
        <v>7</v>
      </c>
      <c r="D184" s="9">
        <v>96.15</v>
      </c>
      <c r="E184" t="s">
        <v>1043</v>
      </c>
      <c r="F184" s="10">
        <v>1125.3399999999999</v>
      </c>
      <c r="G184">
        <f>Meter[[#This Row],[EstimatedLoss_RM]]/0.8</f>
        <v>1406.6749999999997</v>
      </c>
      <c r="H184" t="str" cm="1">
        <f t="array" ref="H184">_xlfn.IFS(C184&lt;=5, "0–5 years", C184&lt;=10, "6–10 years", C184&lt;=15, "11–15 years", C184&lt;=20, "16–20 years", TRUE, "21–25 years")</f>
        <v>6–10 years</v>
      </c>
    </row>
    <row r="185" spans="1:8" x14ac:dyDescent="0.3">
      <c r="A185" t="s">
        <v>1419</v>
      </c>
      <c r="B185" t="s">
        <v>50</v>
      </c>
      <c r="C185">
        <v>9</v>
      </c>
      <c r="D185" s="2">
        <v>96.14</v>
      </c>
      <c r="E185" t="s">
        <v>1041</v>
      </c>
      <c r="F185" s="11">
        <v>1127.3</v>
      </c>
      <c r="G185">
        <f>Meter[[#This Row],[EstimatedLoss_RM]]/0.8</f>
        <v>1409.1249999999998</v>
      </c>
      <c r="H185" t="str" cm="1">
        <f t="array" ref="H185">_xlfn.IFS(C185&lt;=5, "0–5 years", C185&lt;=10, "6–10 years", C185&lt;=15, "11–15 years", C185&lt;=20, "16–20 years", TRUE, "21–25 years")</f>
        <v>6–10 years</v>
      </c>
    </row>
    <row r="186" spans="1:8" x14ac:dyDescent="0.3">
      <c r="A186" t="s">
        <v>1450</v>
      </c>
      <c r="B186" t="s">
        <v>48</v>
      </c>
      <c r="C186">
        <v>4</v>
      </c>
      <c r="D186" s="9">
        <v>96.12</v>
      </c>
      <c r="E186" t="s">
        <v>1041</v>
      </c>
      <c r="F186" s="10">
        <v>1140.92</v>
      </c>
      <c r="G186">
        <f>Meter[[#This Row],[EstimatedLoss_RM]]/0.8</f>
        <v>1426.15</v>
      </c>
      <c r="H186" t="str" cm="1">
        <f t="array" ref="H186">_xlfn.IFS(C186&lt;=5, "0–5 years", C186&lt;=10, "6–10 years", C186&lt;=15, "11–15 years", C186&lt;=20, "16–20 years", TRUE, "21–25 years")</f>
        <v>0–5 years</v>
      </c>
    </row>
    <row r="187" spans="1:8" x14ac:dyDescent="0.3">
      <c r="A187" t="s">
        <v>1938</v>
      </c>
      <c r="B187" t="s">
        <v>44</v>
      </c>
      <c r="C187">
        <v>8</v>
      </c>
      <c r="D187" s="2">
        <v>96.1</v>
      </c>
      <c r="E187" t="s">
        <v>1043</v>
      </c>
      <c r="F187" s="11">
        <v>1142.75</v>
      </c>
      <c r="G187">
        <f>Meter[[#This Row],[EstimatedLoss_RM]]/0.8</f>
        <v>1428.4375</v>
      </c>
      <c r="H187" t="str" cm="1">
        <f t="array" ref="H187">_xlfn.IFS(C187&lt;=5, "0–5 years", C187&lt;=10, "6–10 years", C187&lt;=15, "11–15 years", C187&lt;=20, "16–20 years", TRUE, "21–25 years")</f>
        <v>6–10 years</v>
      </c>
    </row>
    <row r="188" spans="1:8" x14ac:dyDescent="0.3">
      <c r="A188" t="s">
        <v>1928</v>
      </c>
      <c r="B188" t="s">
        <v>41</v>
      </c>
      <c r="C188">
        <v>14</v>
      </c>
      <c r="D188" s="9">
        <v>96.09</v>
      </c>
      <c r="E188" t="s">
        <v>1041</v>
      </c>
      <c r="F188" s="10">
        <v>1153.9000000000001</v>
      </c>
      <c r="G188">
        <f>Meter[[#This Row],[EstimatedLoss_RM]]/0.8</f>
        <v>1442.375</v>
      </c>
      <c r="H188" t="str" cm="1">
        <f t="array" ref="H188">_xlfn.IFS(C188&lt;=5, "0–5 years", C188&lt;=10, "6–10 years", C188&lt;=15, "11–15 years", C188&lt;=20, "16–20 years", TRUE, "21–25 years")</f>
        <v>11–15 years</v>
      </c>
    </row>
    <row r="189" spans="1:8" x14ac:dyDescent="0.3">
      <c r="A189" t="s">
        <v>1567</v>
      </c>
      <c r="B189" t="s">
        <v>50</v>
      </c>
      <c r="C189">
        <v>1</v>
      </c>
      <c r="D189" s="2">
        <v>96.07</v>
      </c>
      <c r="E189" t="s">
        <v>1045</v>
      </c>
      <c r="F189" s="11">
        <v>1155.3</v>
      </c>
      <c r="G189">
        <f>Meter[[#This Row],[EstimatedLoss_RM]]/0.8</f>
        <v>1444.1249999999998</v>
      </c>
      <c r="H189" t="str" cm="1">
        <f t="array" ref="H189">_xlfn.IFS(C189&lt;=5, "0–5 years", C189&lt;=10, "6–10 years", C189&lt;=15, "11–15 years", C189&lt;=20, "16–20 years", TRUE, "21–25 years")</f>
        <v>0–5 years</v>
      </c>
    </row>
    <row r="190" spans="1:8" x14ac:dyDescent="0.3">
      <c r="A190" t="s">
        <v>1841</v>
      </c>
      <c r="B190" t="s">
        <v>50</v>
      </c>
      <c r="C190">
        <v>5</v>
      </c>
      <c r="D190" s="9">
        <v>96.06</v>
      </c>
      <c r="E190" t="s">
        <v>1041</v>
      </c>
      <c r="F190" s="10">
        <v>1156.3900000000001</v>
      </c>
      <c r="G190">
        <f>Meter[[#This Row],[EstimatedLoss_RM]]/0.8</f>
        <v>1445.4875</v>
      </c>
      <c r="H190" t="str" cm="1">
        <f t="array" ref="H190">_xlfn.IFS(C190&lt;=5, "0–5 years", C190&lt;=10, "6–10 years", C190&lt;=15, "11–15 years", C190&lt;=20, "16–20 years", TRUE, "21–25 years")</f>
        <v>0–5 years</v>
      </c>
    </row>
    <row r="191" spans="1:8" x14ac:dyDescent="0.3">
      <c r="A191" t="s">
        <v>1679</v>
      </c>
      <c r="B191" t="s">
        <v>40</v>
      </c>
      <c r="C191">
        <v>9</v>
      </c>
      <c r="D191" s="2">
        <v>96.05</v>
      </c>
      <c r="E191" t="s">
        <v>1045</v>
      </c>
      <c r="F191" s="11">
        <v>1164.31</v>
      </c>
      <c r="G191">
        <f>Meter[[#This Row],[EstimatedLoss_RM]]/0.8</f>
        <v>1455.3874999999998</v>
      </c>
      <c r="H191" t="str" cm="1">
        <f t="array" ref="H191">_xlfn.IFS(C191&lt;=5, "0–5 years", C191&lt;=10, "6–10 years", C191&lt;=15, "11–15 years", C191&lt;=20, "16–20 years", TRUE, "21–25 years")</f>
        <v>6–10 years</v>
      </c>
    </row>
    <row r="192" spans="1:8" x14ac:dyDescent="0.3">
      <c r="A192" t="s">
        <v>1897</v>
      </c>
      <c r="B192" t="s">
        <v>46</v>
      </c>
      <c r="C192">
        <v>12</v>
      </c>
      <c r="D192" s="9">
        <v>96.04</v>
      </c>
      <c r="E192" t="s">
        <v>1045</v>
      </c>
      <c r="F192" s="10">
        <v>1170.43</v>
      </c>
      <c r="G192">
        <f>Meter[[#This Row],[EstimatedLoss_RM]]/0.8</f>
        <v>1463.0374999999999</v>
      </c>
      <c r="H192" t="str" cm="1">
        <f t="array" ref="H192">_xlfn.IFS(C192&lt;=5, "0–5 years", C192&lt;=10, "6–10 years", C192&lt;=15, "11–15 years", C192&lt;=20, "16–20 years", TRUE, "21–25 years")</f>
        <v>11–15 years</v>
      </c>
    </row>
    <row r="193" spans="1:8" x14ac:dyDescent="0.3">
      <c r="A193" t="s">
        <v>1350</v>
      </c>
      <c r="B193" t="s">
        <v>46</v>
      </c>
      <c r="C193">
        <v>2</v>
      </c>
      <c r="D193" s="2">
        <v>96.02</v>
      </c>
      <c r="E193" t="s">
        <v>1045</v>
      </c>
      <c r="F193" s="11">
        <v>1176.4000000000001</v>
      </c>
      <c r="G193">
        <f>Meter[[#This Row],[EstimatedLoss_RM]]/0.8</f>
        <v>1470.5</v>
      </c>
      <c r="H193" t="str" cm="1">
        <f t="array" ref="H193">_xlfn.IFS(C193&lt;=5, "0–5 years", C193&lt;=10, "6–10 years", C193&lt;=15, "11–15 years", C193&lt;=20, "16–20 years", TRUE, "21–25 years")</f>
        <v>0–5 years</v>
      </c>
    </row>
    <row r="194" spans="1:8" x14ac:dyDescent="0.3">
      <c r="A194" t="s">
        <v>1624</v>
      </c>
      <c r="B194" t="s">
        <v>42</v>
      </c>
      <c r="C194">
        <v>3</v>
      </c>
      <c r="D194" s="9">
        <v>95.97</v>
      </c>
      <c r="E194" t="s">
        <v>1041</v>
      </c>
      <c r="F194" s="10">
        <v>1178.76</v>
      </c>
      <c r="G194">
        <f>Meter[[#This Row],[EstimatedLoss_RM]]/0.8</f>
        <v>1473.4499999999998</v>
      </c>
      <c r="H194" t="str" cm="1">
        <f t="array" ref="H194">_xlfn.IFS(C194&lt;=5, "0–5 years", C194&lt;=10, "6–10 years", C194&lt;=15, "11–15 years", C194&lt;=20, "16–20 years", TRUE, "21–25 years")</f>
        <v>0–5 years</v>
      </c>
    </row>
    <row r="195" spans="1:8" x14ac:dyDescent="0.3">
      <c r="A195" t="s">
        <v>1383</v>
      </c>
      <c r="B195" t="s">
        <v>53</v>
      </c>
      <c r="C195">
        <v>1</v>
      </c>
      <c r="D195" s="2">
        <v>95.96</v>
      </c>
      <c r="E195" t="s">
        <v>1041</v>
      </c>
      <c r="F195" s="11">
        <v>1193.78</v>
      </c>
      <c r="G195">
        <f>Meter[[#This Row],[EstimatedLoss_RM]]/0.8</f>
        <v>1492.2249999999999</v>
      </c>
      <c r="H195" t="str" cm="1">
        <f t="array" ref="H195">_xlfn.IFS(C195&lt;=5, "0–5 years", C195&lt;=10, "6–10 years", C195&lt;=15, "11–15 years", C195&lt;=20, "16–20 years", TRUE, "21–25 years")</f>
        <v>0–5 years</v>
      </c>
    </row>
    <row r="196" spans="1:8" x14ac:dyDescent="0.3">
      <c r="A196" t="s">
        <v>1825</v>
      </c>
      <c r="B196" t="s">
        <v>42</v>
      </c>
      <c r="C196">
        <v>7</v>
      </c>
      <c r="D196" s="9">
        <v>95.96</v>
      </c>
      <c r="E196" t="s">
        <v>1043</v>
      </c>
      <c r="F196" s="10">
        <v>1186.8900000000001</v>
      </c>
      <c r="G196">
        <f>Meter[[#This Row],[EstimatedLoss_RM]]/0.8</f>
        <v>1483.6125</v>
      </c>
      <c r="H196" t="str" cm="1">
        <f t="array" ref="H196">_xlfn.IFS(C196&lt;=5, "0–5 years", C196&lt;=10, "6–10 years", C196&lt;=15, "11–15 years", C196&lt;=20, "16–20 years", TRUE, "21–25 years")</f>
        <v>6–10 years</v>
      </c>
    </row>
    <row r="197" spans="1:8" x14ac:dyDescent="0.3">
      <c r="A197" t="s">
        <v>1519</v>
      </c>
      <c r="B197" t="s">
        <v>53</v>
      </c>
      <c r="C197">
        <v>8</v>
      </c>
      <c r="D197" s="2">
        <v>95.95</v>
      </c>
      <c r="E197" t="s">
        <v>1041</v>
      </c>
      <c r="F197" s="11">
        <v>1194.75</v>
      </c>
      <c r="G197">
        <f>Meter[[#This Row],[EstimatedLoss_RM]]/0.8</f>
        <v>1493.4375</v>
      </c>
      <c r="H197" t="str" cm="1">
        <f t="array" ref="H197">_xlfn.IFS(C197&lt;=5, "0–5 years", C197&lt;=10, "6–10 years", C197&lt;=15, "11–15 years", C197&lt;=20, "16–20 years", TRUE, "21–25 years")</f>
        <v>6–10 years</v>
      </c>
    </row>
    <row r="198" spans="1:8" x14ac:dyDescent="0.3">
      <c r="A198" t="s">
        <v>1558</v>
      </c>
      <c r="B198" t="s">
        <v>40</v>
      </c>
      <c r="C198">
        <v>9</v>
      </c>
      <c r="D198" s="9">
        <v>95.91</v>
      </c>
      <c r="E198" t="s">
        <v>1045</v>
      </c>
      <c r="F198" s="10">
        <v>1198.95</v>
      </c>
      <c r="G198">
        <f>Meter[[#This Row],[EstimatedLoss_RM]]/0.8</f>
        <v>1498.6875</v>
      </c>
      <c r="H198" t="str" cm="1">
        <f t="array" ref="H198">_xlfn.IFS(C198&lt;=5, "0–5 years", C198&lt;=10, "6–10 years", C198&lt;=15, "11–15 years", C198&lt;=20, "16–20 years", TRUE, "21–25 years")</f>
        <v>6–10 years</v>
      </c>
    </row>
    <row r="199" spans="1:8" x14ac:dyDescent="0.3">
      <c r="A199" t="s">
        <v>1577</v>
      </c>
      <c r="B199" t="s">
        <v>46</v>
      </c>
      <c r="C199">
        <v>2</v>
      </c>
      <c r="D199" s="2">
        <v>95.9</v>
      </c>
      <c r="E199" t="s">
        <v>1045</v>
      </c>
      <c r="F199" s="11">
        <v>1207.25</v>
      </c>
      <c r="G199">
        <f>Meter[[#This Row],[EstimatedLoss_RM]]/0.8</f>
        <v>1509.0625</v>
      </c>
      <c r="H199" t="str" cm="1">
        <f t="array" ref="H199">_xlfn.IFS(C199&lt;=5, "0–5 years", C199&lt;=10, "6–10 years", C199&lt;=15, "11–15 years", C199&lt;=20, "16–20 years", TRUE, "21–25 years")</f>
        <v>0–5 years</v>
      </c>
    </row>
    <row r="200" spans="1:8" x14ac:dyDescent="0.3">
      <c r="A200" t="s">
        <v>1482</v>
      </c>
      <c r="B200" t="s">
        <v>47</v>
      </c>
      <c r="C200">
        <v>5</v>
      </c>
      <c r="D200" s="9">
        <v>95.89</v>
      </c>
      <c r="E200" t="s">
        <v>1041</v>
      </c>
      <c r="F200" s="10">
        <v>1209.55</v>
      </c>
      <c r="G200">
        <f>Meter[[#This Row],[EstimatedLoss_RM]]/0.8</f>
        <v>1511.9374999999998</v>
      </c>
      <c r="H200" t="str" cm="1">
        <f t="array" ref="H200">_xlfn.IFS(C200&lt;=5, "0–5 years", C200&lt;=10, "6–10 years", C200&lt;=15, "11–15 years", C200&lt;=20, "16–20 years", TRUE, "21–25 years")</f>
        <v>0–5 years</v>
      </c>
    </row>
    <row r="201" spans="1:8" x14ac:dyDescent="0.3">
      <c r="A201" t="s">
        <v>1438</v>
      </c>
      <c r="B201" t="s">
        <v>48</v>
      </c>
      <c r="C201">
        <v>3</v>
      </c>
      <c r="D201" s="2">
        <v>95.86</v>
      </c>
      <c r="E201" t="s">
        <v>1041</v>
      </c>
      <c r="F201" s="11">
        <v>1212.02</v>
      </c>
      <c r="G201">
        <f>Meter[[#This Row],[EstimatedLoss_RM]]/0.8</f>
        <v>1515.0249999999999</v>
      </c>
      <c r="H201" t="str" cm="1">
        <f t="array" ref="H201">_xlfn.IFS(C201&lt;=5, "0–5 years", C201&lt;=10, "6–10 years", C201&lt;=15, "11–15 years", C201&lt;=20, "16–20 years", TRUE, "21–25 years")</f>
        <v>0–5 years</v>
      </c>
    </row>
    <row r="202" spans="1:8" x14ac:dyDescent="0.3">
      <c r="A202" t="s">
        <v>1135</v>
      </c>
      <c r="B202" t="s">
        <v>39</v>
      </c>
      <c r="C202">
        <v>2</v>
      </c>
      <c r="D202" s="9">
        <v>95.8</v>
      </c>
      <c r="E202" t="s">
        <v>1045</v>
      </c>
      <c r="F202" s="10">
        <v>1218.79</v>
      </c>
      <c r="G202">
        <f>Meter[[#This Row],[EstimatedLoss_RM]]/0.8</f>
        <v>1523.4875</v>
      </c>
      <c r="H202" t="str" cm="1">
        <f t="array" ref="H202">_xlfn.IFS(C202&lt;=5, "0–5 years", C202&lt;=10, "6–10 years", C202&lt;=15, "11–15 years", C202&lt;=20, "16–20 years", TRUE, "21–25 years")</f>
        <v>0–5 years</v>
      </c>
    </row>
    <row r="203" spans="1:8" x14ac:dyDescent="0.3">
      <c r="A203" t="s">
        <v>1752</v>
      </c>
      <c r="B203" t="s">
        <v>47</v>
      </c>
      <c r="C203">
        <v>14</v>
      </c>
      <c r="D203" s="2">
        <v>95.79</v>
      </c>
      <c r="E203" t="s">
        <v>1043</v>
      </c>
      <c r="F203" s="11">
        <v>1225.72</v>
      </c>
      <c r="G203">
        <f>Meter[[#This Row],[EstimatedLoss_RM]]/0.8</f>
        <v>1532.1499999999999</v>
      </c>
      <c r="H203" t="str" cm="1">
        <f t="array" ref="H203">_xlfn.IFS(C203&lt;=5, "0–5 years", C203&lt;=10, "6–10 years", C203&lt;=15, "11–15 years", C203&lt;=20, "16–20 years", TRUE, "21–25 years")</f>
        <v>11–15 years</v>
      </c>
    </row>
    <row r="204" spans="1:8" x14ac:dyDescent="0.3">
      <c r="A204" t="s">
        <v>1889</v>
      </c>
      <c r="B204" t="s">
        <v>49</v>
      </c>
      <c r="C204">
        <v>7</v>
      </c>
      <c r="D204" s="9">
        <v>95.78</v>
      </c>
      <c r="E204" t="s">
        <v>1043</v>
      </c>
      <c r="F204" s="10">
        <v>1229.49</v>
      </c>
      <c r="G204">
        <f>Meter[[#This Row],[EstimatedLoss_RM]]/0.8</f>
        <v>1536.8625</v>
      </c>
      <c r="H204" t="str" cm="1">
        <f t="array" ref="H204">_xlfn.IFS(C204&lt;=5, "0–5 years", C204&lt;=10, "6–10 years", C204&lt;=15, "11–15 years", C204&lt;=20, "16–20 years", TRUE, "21–25 years")</f>
        <v>6–10 years</v>
      </c>
    </row>
    <row r="205" spans="1:8" x14ac:dyDescent="0.3">
      <c r="A205" t="s">
        <v>1863</v>
      </c>
      <c r="B205" t="s">
        <v>47</v>
      </c>
      <c r="C205">
        <v>3</v>
      </c>
      <c r="D205" s="2">
        <v>95.77</v>
      </c>
      <c r="E205" t="s">
        <v>1043</v>
      </c>
      <c r="F205" s="11">
        <v>1230.1600000000001</v>
      </c>
      <c r="G205">
        <f>Meter[[#This Row],[EstimatedLoss_RM]]/0.8</f>
        <v>1537.7</v>
      </c>
      <c r="H205" t="str" cm="1">
        <f t="array" ref="H205">_xlfn.IFS(C205&lt;=5, "0–5 years", C205&lt;=10, "6–10 years", C205&lt;=15, "11–15 years", C205&lt;=20, "16–20 years", TRUE, "21–25 years")</f>
        <v>0–5 years</v>
      </c>
    </row>
    <row r="206" spans="1:8" x14ac:dyDescent="0.3">
      <c r="A206" t="s">
        <v>1441</v>
      </c>
      <c r="B206" t="s">
        <v>45</v>
      </c>
      <c r="C206">
        <v>5</v>
      </c>
      <c r="D206" s="9">
        <v>95.77</v>
      </c>
      <c r="E206" t="s">
        <v>1041</v>
      </c>
      <c r="F206" s="10">
        <v>1230.76</v>
      </c>
      <c r="G206">
        <f>Meter[[#This Row],[EstimatedLoss_RM]]/0.8</f>
        <v>1538.4499999999998</v>
      </c>
      <c r="H206" t="str" cm="1">
        <f t="array" ref="H206">_xlfn.IFS(C206&lt;=5, "0–5 years", C206&lt;=10, "6–10 years", C206&lt;=15, "11–15 years", C206&lt;=20, "16–20 years", TRUE, "21–25 years")</f>
        <v>0–5 years</v>
      </c>
    </row>
    <row r="207" spans="1:8" x14ac:dyDescent="0.3">
      <c r="A207" t="s">
        <v>1661</v>
      </c>
      <c r="B207" t="s">
        <v>46</v>
      </c>
      <c r="C207">
        <v>8</v>
      </c>
      <c r="D207" s="2">
        <v>95.76</v>
      </c>
      <c r="E207" t="s">
        <v>1043</v>
      </c>
      <c r="F207" s="11">
        <v>1239.52</v>
      </c>
      <c r="G207">
        <f>Meter[[#This Row],[EstimatedLoss_RM]]/0.8</f>
        <v>1549.3999999999999</v>
      </c>
      <c r="H207" t="str" cm="1">
        <f t="array" ref="H207">_xlfn.IFS(C207&lt;=5, "0–5 years", C207&lt;=10, "6–10 years", C207&lt;=15, "11–15 years", C207&lt;=20, "16–20 years", TRUE, "21–25 years")</f>
        <v>6–10 years</v>
      </c>
    </row>
    <row r="208" spans="1:8" x14ac:dyDescent="0.3">
      <c r="A208" t="s">
        <v>1828</v>
      </c>
      <c r="B208" t="s">
        <v>52</v>
      </c>
      <c r="C208">
        <v>11</v>
      </c>
      <c r="D208" s="9">
        <v>95.76</v>
      </c>
      <c r="E208" t="s">
        <v>1043</v>
      </c>
      <c r="F208" s="10">
        <v>1240.6600000000001</v>
      </c>
      <c r="G208">
        <f>Meter[[#This Row],[EstimatedLoss_RM]]/0.8</f>
        <v>1550.825</v>
      </c>
      <c r="H208" t="str" cm="1">
        <f t="array" ref="H208">_xlfn.IFS(C208&lt;=5, "0–5 years", C208&lt;=10, "6–10 years", C208&lt;=15, "11–15 years", C208&lt;=20, "16–20 years", TRUE, "21–25 years")</f>
        <v>11–15 years</v>
      </c>
    </row>
    <row r="209" spans="1:8" x14ac:dyDescent="0.3">
      <c r="A209" t="s">
        <v>1665</v>
      </c>
      <c r="B209" t="s">
        <v>45</v>
      </c>
      <c r="C209">
        <v>15</v>
      </c>
      <c r="D209" s="2">
        <v>95.76</v>
      </c>
      <c r="E209" t="s">
        <v>1045</v>
      </c>
      <c r="F209" s="11">
        <v>1240.05</v>
      </c>
      <c r="G209">
        <f>Meter[[#This Row],[EstimatedLoss_RM]]/0.8</f>
        <v>1550.0624999999998</v>
      </c>
      <c r="H209" t="str" cm="1">
        <f t="array" ref="H209">_xlfn.IFS(C209&lt;=5, "0–5 years", C209&lt;=10, "6–10 years", C209&lt;=15, "11–15 years", C209&lt;=20, "16–20 years", TRUE, "21–25 years")</f>
        <v>11–15 years</v>
      </c>
    </row>
    <row r="210" spans="1:8" x14ac:dyDescent="0.3">
      <c r="A210" t="s">
        <v>1523</v>
      </c>
      <c r="B210" t="s">
        <v>40</v>
      </c>
      <c r="C210">
        <v>5</v>
      </c>
      <c r="D210" s="9">
        <v>95.74</v>
      </c>
      <c r="E210" t="s">
        <v>1043</v>
      </c>
      <c r="F210" s="10">
        <v>1246.68</v>
      </c>
      <c r="G210">
        <f>Meter[[#This Row],[EstimatedLoss_RM]]/0.8</f>
        <v>1558.35</v>
      </c>
      <c r="H210" t="str" cm="1">
        <f t="array" ref="H210">_xlfn.IFS(C210&lt;=5, "0–5 years", C210&lt;=10, "6–10 years", C210&lt;=15, "11–15 years", C210&lt;=20, "16–20 years", TRUE, "21–25 years")</f>
        <v>0–5 years</v>
      </c>
    </row>
    <row r="211" spans="1:8" x14ac:dyDescent="0.3">
      <c r="A211" t="s">
        <v>1362</v>
      </c>
      <c r="B211" t="s">
        <v>39</v>
      </c>
      <c r="C211">
        <v>5</v>
      </c>
      <c r="D211" s="2">
        <v>95.74</v>
      </c>
      <c r="E211" t="s">
        <v>1043</v>
      </c>
      <c r="F211" s="11">
        <v>1262.99</v>
      </c>
      <c r="G211">
        <f>Meter[[#This Row],[EstimatedLoss_RM]]/0.8</f>
        <v>1578.7375</v>
      </c>
      <c r="H211" t="str" cm="1">
        <f t="array" ref="H211">_xlfn.IFS(C211&lt;=5, "0–5 years", C211&lt;=10, "6–10 years", C211&lt;=15, "11–15 years", C211&lt;=20, "16–20 years", TRUE, "21–25 years")</f>
        <v>0–5 years</v>
      </c>
    </row>
    <row r="212" spans="1:8" x14ac:dyDescent="0.3">
      <c r="A212" t="s">
        <v>1318</v>
      </c>
      <c r="B212" t="s">
        <v>39</v>
      </c>
      <c r="C212">
        <v>8</v>
      </c>
      <c r="D212" s="9">
        <v>95.72</v>
      </c>
      <c r="E212" t="s">
        <v>1045</v>
      </c>
      <c r="F212" s="10">
        <v>1263.49</v>
      </c>
      <c r="G212">
        <f>Meter[[#This Row],[EstimatedLoss_RM]]/0.8</f>
        <v>1579.3625</v>
      </c>
      <c r="H212" t="str" cm="1">
        <f t="array" ref="H212">_xlfn.IFS(C212&lt;=5, "0–5 years", C212&lt;=10, "6–10 years", C212&lt;=15, "11–15 years", C212&lt;=20, "16–20 years", TRUE, "21–25 years")</f>
        <v>6–10 years</v>
      </c>
    </row>
    <row r="213" spans="1:8" x14ac:dyDescent="0.3">
      <c r="A213" t="s">
        <v>1744</v>
      </c>
      <c r="B213" t="s">
        <v>41</v>
      </c>
      <c r="C213">
        <v>11</v>
      </c>
      <c r="D213" s="2">
        <v>95.7</v>
      </c>
      <c r="E213" t="s">
        <v>1041</v>
      </c>
      <c r="F213" s="11">
        <v>1272.1500000000001</v>
      </c>
      <c r="G213">
        <f>Meter[[#This Row],[EstimatedLoss_RM]]/0.8</f>
        <v>1590.1875</v>
      </c>
      <c r="H213" t="str" cm="1">
        <f t="array" ref="H213">_xlfn.IFS(C213&lt;=5, "0–5 years", C213&lt;=10, "6–10 years", C213&lt;=15, "11–15 years", C213&lt;=20, "16–20 years", TRUE, "21–25 years")</f>
        <v>11–15 years</v>
      </c>
    </row>
    <row r="214" spans="1:8" x14ac:dyDescent="0.3">
      <c r="A214" t="s">
        <v>1786</v>
      </c>
      <c r="B214" t="s">
        <v>39</v>
      </c>
      <c r="C214">
        <v>6</v>
      </c>
      <c r="D214" s="9">
        <v>95.65</v>
      </c>
      <c r="E214" t="s">
        <v>1045</v>
      </c>
      <c r="F214" s="10">
        <v>1277.5899999999999</v>
      </c>
      <c r="G214">
        <f>Meter[[#This Row],[EstimatedLoss_RM]]/0.8</f>
        <v>1596.9874999999997</v>
      </c>
      <c r="H214" t="str" cm="1">
        <f t="array" ref="H214">_xlfn.IFS(C214&lt;=5, "0–5 years", C214&lt;=10, "6–10 years", C214&lt;=15, "11–15 years", C214&lt;=20, "16–20 years", TRUE, "21–25 years")</f>
        <v>6–10 years</v>
      </c>
    </row>
    <row r="215" spans="1:8" x14ac:dyDescent="0.3">
      <c r="A215" t="s">
        <v>1322</v>
      </c>
      <c r="B215" t="s">
        <v>53</v>
      </c>
      <c r="C215">
        <v>4</v>
      </c>
      <c r="D215" s="2">
        <v>95.63</v>
      </c>
      <c r="E215" t="s">
        <v>1045</v>
      </c>
      <c r="F215" s="11">
        <v>1279.42</v>
      </c>
      <c r="G215">
        <f>Meter[[#This Row],[EstimatedLoss_RM]]/0.8</f>
        <v>1599.2750000000001</v>
      </c>
      <c r="H215" t="str" cm="1">
        <f t="array" ref="H215">_xlfn.IFS(C215&lt;=5, "0–5 years", C215&lt;=10, "6–10 years", C215&lt;=15, "11–15 years", C215&lt;=20, "16–20 years", TRUE, "21–25 years")</f>
        <v>0–5 years</v>
      </c>
    </row>
    <row r="216" spans="1:8" x14ac:dyDescent="0.3">
      <c r="A216" t="s">
        <v>1775</v>
      </c>
      <c r="B216" t="s">
        <v>52</v>
      </c>
      <c r="C216">
        <v>8</v>
      </c>
      <c r="D216" s="9">
        <v>95.62</v>
      </c>
      <c r="E216" t="s">
        <v>1043</v>
      </c>
      <c r="F216" s="10">
        <v>1281.51</v>
      </c>
      <c r="G216">
        <f>Meter[[#This Row],[EstimatedLoss_RM]]/0.8</f>
        <v>1601.8874999999998</v>
      </c>
      <c r="H216" t="str" cm="1">
        <f t="array" ref="H216">_xlfn.IFS(C216&lt;=5, "0–5 years", C216&lt;=10, "6–10 years", C216&lt;=15, "11–15 years", C216&lt;=20, "16–20 years", TRUE, "21–25 years")</f>
        <v>6–10 years</v>
      </c>
    </row>
    <row r="217" spans="1:8" x14ac:dyDescent="0.3">
      <c r="A217" t="s">
        <v>1283</v>
      </c>
      <c r="B217" t="s">
        <v>46</v>
      </c>
      <c r="C217">
        <v>2</v>
      </c>
      <c r="D217" s="2">
        <v>95.61</v>
      </c>
      <c r="E217" t="s">
        <v>1045</v>
      </c>
      <c r="F217" s="11">
        <v>1302.1300000000001</v>
      </c>
      <c r="G217">
        <f>Meter[[#This Row],[EstimatedLoss_RM]]/0.8</f>
        <v>1627.6625000000001</v>
      </c>
      <c r="H217" t="str" cm="1">
        <f t="array" ref="H217">_xlfn.IFS(C217&lt;=5, "0–5 years", C217&lt;=10, "6–10 years", C217&lt;=15, "11–15 years", C217&lt;=20, "16–20 years", TRUE, "21–25 years")</f>
        <v>0–5 years</v>
      </c>
    </row>
    <row r="218" spans="1:8" x14ac:dyDescent="0.3">
      <c r="A218" t="s">
        <v>1165</v>
      </c>
      <c r="B218" t="s">
        <v>40</v>
      </c>
      <c r="C218">
        <v>13</v>
      </c>
      <c r="D218" s="9">
        <v>95.61</v>
      </c>
      <c r="E218" t="s">
        <v>1043</v>
      </c>
      <c r="F218" s="10">
        <v>1294.42</v>
      </c>
      <c r="G218">
        <f>Meter[[#This Row],[EstimatedLoss_RM]]/0.8</f>
        <v>1618.0250000000001</v>
      </c>
      <c r="H218" t="str" cm="1">
        <f t="array" ref="H218">_xlfn.IFS(C218&lt;=5, "0–5 years", C218&lt;=10, "6–10 years", C218&lt;=15, "11–15 years", C218&lt;=20, "16–20 years", TRUE, "21–25 years")</f>
        <v>11–15 years</v>
      </c>
    </row>
    <row r="219" spans="1:8" x14ac:dyDescent="0.3">
      <c r="A219" t="s">
        <v>1607</v>
      </c>
      <c r="B219" t="s">
        <v>50</v>
      </c>
      <c r="C219">
        <v>12</v>
      </c>
      <c r="D219" s="2">
        <v>95.6</v>
      </c>
      <c r="E219" t="s">
        <v>1045</v>
      </c>
      <c r="F219" s="11">
        <v>1312.85</v>
      </c>
      <c r="G219">
        <f>Meter[[#This Row],[EstimatedLoss_RM]]/0.8</f>
        <v>1641.0624999999998</v>
      </c>
      <c r="H219" t="str" cm="1">
        <f t="array" ref="H219">_xlfn.IFS(C219&lt;=5, "0–5 years", C219&lt;=10, "6–10 years", C219&lt;=15, "11–15 years", C219&lt;=20, "16–20 years", TRUE, "21–25 years")</f>
        <v>11–15 years</v>
      </c>
    </row>
    <row r="220" spans="1:8" x14ac:dyDescent="0.3">
      <c r="A220" t="s">
        <v>1592</v>
      </c>
      <c r="B220" t="s">
        <v>50</v>
      </c>
      <c r="C220">
        <v>3</v>
      </c>
      <c r="D220" s="9">
        <v>95.59</v>
      </c>
      <c r="E220" t="s">
        <v>1043</v>
      </c>
      <c r="F220" s="10">
        <v>1318.1</v>
      </c>
      <c r="G220">
        <f>Meter[[#This Row],[EstimatedLoss_RM]]/0.8</f>
        <v>1647.6249999999998</v>
      </c>
      <c r="H220" t="str" cm="1">
        <f t="array" ref="H220">_xlfn.IFS(C220&lt;=5, "0–5 years", C220&lt;=10, "6–10 years", C220&lt;=15, "11–15 years", C220&lt;=20, "16–20 years", TRUE, "21–25 years")</f>
        <v>0–5 years</v>
      </c>
    </row>
    <row r="221" spans="1:8" x14ac:dyDescent="0.3">
      <c r="A221" t="s">
        <v>1856</v>
      </c>
      <c r="B221" t="s">
        <v>50</v>
      </c>
      <c r="C221">
        <v>7</v>
      </c>
      <c r="D221" s="2">
        <v>95.59</v>
      </c>
      <c r="E221" t="s">
        <v>1045</v>
      </c>
      <c r="F221" s="11">
        <v>1322.98</v>
      </c>
      <c r="G221">
        <f>Meter[[#This Row],[EstimatedLoss_RM]]/0.8</f>
        <v>1653.7249999999999</v>
      </c>
      <c r="H221" t="str" cm="1">
        <f t="array" ref="H221">_xlfn.IFS(C221&lt;=5, "0–5 years", C221&lt;=10, "6–10 years", C221&lt;=15, "11–15 years", C221&lt;=20, "16–20 years", TRUE, "21–25 years")</f>
        <v>6–10 years</v>
      </c>
    </row>
    <row r="222" spans="1:8" x14ac:dyDescent="0.3">
      <c r="A222" t="s">
        <v>1059</v>
      </c>
      <c r="B222" t="s">
        <v>52</v>
      </c>
      <c r="C222">
        <v>1</v>
      </c>
      <c r="D222" s="9">
        <v>95.57</v>
      </c>
      <c r="E222" t="s">
        <v>1045</v>
      </c>
      <c r="F222" s="10">
        <v>1330.99</v>
      </c>
      <c r="G222">
        <f>Meter[[#This Row],[EstimatedLoss_RM]]/0.8</f>
        <v>1663.7375</v>
      </c>
      <c r="H222" t="str" cm="1">
        <f t="array" ref="H222">_xlfn.IFS(C222&lt;=5, "0–5 years", C222&lt;=10, "6–10 years", C222&lt;=15, "11–15 years", C222&lt;=20, "16–20 years", TRUE, "21–25 years")</f>
        <v>0–5 years</v>
      </c>
    </row>
    <row r="223" spans="1:8" x14ac:dyDescent="0.3">
      <c r="A223" t="s">
        <v>1929</v>
      </c>
      <c r="B223" t="s">
        <v>39</v>
      </c>
      <c r="C223">
        <v>9</v>
      </c>
      <c r="D223" s="2">
        <v>95.57</v>
      </c>
      <c r="E223" t="s">
        <v>1043</v>
      </c>
      <c r="F223" s="11">
        <v>1334.18</v>
      </c>
      <c r="G223">
        <f>Meter[[#This Row],[EstimatedLoss_RM]]/0.8</f>
        <v>1667.7249999999999</v>
      </c>
      <c r="H223" t="str" cm="1">
        <f t="array" ref="H223">_xlfn.IFS(C223&lt;=5, "0–5 years", C223&lt;=10, "6–10 years", C223&lt;=15, "11–15 years", C223&lt;=20, "16–20 years", TRUE, "21–25 years")</f>
        <v>6–10 years</v>
      </c>
    </row>
    <row r="224" spans="1:8" x14ac:dyDescent="0.3">
      <c r="A224" t="s">
        <v>1886</v>
      </c>
      <c r="B224" t="s">
        <v>43</v>
      </c>
      <c r="C224">
        <v>8</v>
      </c>
      <c r="D224" s="9">
        <v>95.56</v>
      </c>
      <c r="E224" t="s">
        <v>1041</v>
      </c>
      <c r="F224" s="10">
        <v>1335.5</v>
      </c>
      <c r="G224">
        <f>Meter[[#This Row],[EstimatedLoss_RM]]/0.8</f>
        <v>1669.375</v>
      </c>
      <c r="H224" t="str" cm="1">
        <f t="array" ref="H224">_xlfn.IFS(C224&lt;=5, "0–5 years", C224&lt;=10, "6–10 years", C224&lt;=15, "11–15 years", C224&lt;=20, "16–20 years", TRUE, "21–25 years")</f>
        <v>6–10 years</v>
      </c>
    </row>
    <row r="225" spans="1:8" x14ac:dyDescent="0.3">
      <c r="A225" t="s">
        <v>1402</v>
      </c>
      <c r="B225" t="s">
        <v>49</v>
      </c>
      <c r="C225">
        <v>2</v>
      </c>
      <c r="D225" s="2">
        <v>95.55</v>
      </c>
      <c r="E225" t="s">
        <v>1045</v>
      </c>
      <c r="F225" s="11">
        <v>1340.11</v>
      </c>
      <c r="G225">
        <f>Meter[[#This Row],[EstimatedLoss_RM]]/0.8</f>
        <v>1675.1374999999998</v>
      </c>
      <c r="H225" t="str" cm="1">
        <f t="array" ref="H225">_xlfn.IFS(C225&lt;=5, "0–5 years", C225&lt;=10, "6–10 years", C225&lt;=15, "11–15 years", C225&lt;=20, "16–20 years", TRUE, "21–25 years")</f>
        <v>0–5 years</v>
      </c>
    </row>
    <row r="226" spans="1:8" x14ac:dyDescent="0.3">
      <c r="A226" t="s">
        <v>1134</v>
      </c>
      <c r="B226" t="s">
        <v>42</v>
      </c>
      <c r="C226">
        <v>11</v>
      </c>
      <c r="D226" s="9">
        <v>95.54</v>
      </c>
      <c r="E226" t="s">
        <v>1041</v>
      </c>
      <c r="F226" s="10">
        <v>1347.36</v>
      </c>
      <c r="G226">
        <f>Meter[[#This Row],[EstimatedLoss_RM]]/0.8</f>
        <v>1684.1999999999998</v>
      </c>
      <c r="H226" t="str" cm="1">
        <f t="array" ref="H226">_xlfn.IFS(C226&lt;=5, "0–5 years", C226&lt;=10, "6–10 years", C226&lt;=15, "11–15 years", C226&lt;=20, "16–20 years", TRUE, "21–25 years")</f>
        <v>11–15 years</v>
      </c>
    </row>
    <row r="227" spans="1:8" x14ac:dyDescent="0.3">
      <c r="A227" t="s">
        <v>1809</v>
      </c>
      <c r="B227" t="s">
        <v>43</v>
      </c>
      <c r="C227">
        <v>6</v>
      </c>
      <c r="D227" s="2">
        <v>95.53</v>
      </c>
      <c r="E227" t="s">
        <v>1043</v>
      </c>
      <c r="F227" s="11">
        <v>1375.26</v>
      </c>
      <c r="G227">
        <f>Meter[[#This Row],[EstimatedLoss_RM]]/0.8</f>
        <v>1719.0749999999998</v>
      </c>
      <c r="H227" t="str" cm="1">
        <f t="array" ref="H227">_xlfn.IFS(C227&lt;=5, "0–5 years", C227&lt;=10, "6–10 years", C227&lt;=15, "11–15 years", C227&lt;=20, "16–20 years", TRUE, "21–25 years")</f>
        <v>6–10 years</v>
      </c>
    </row>
    <row r="228" spans="1:8" x14ac:dyDescent="0.3">
      <c r="A228" t="s">
        <v>1050</v>
      </c>
      <c r="B228" t="s">
        <v>38</v>
      </c>
      <c r="C228">
        <v>10</v>
      </c>
      <c r="D228" s="9">
        <v>95.53</v>
      </c>
      <c r="E228" t="s">
        <v>1045</v>
      </c>
      <c r="F228" s="10">
        <v>1349.9</v>
      </c>
      <c r="G228">
        <f>Meter[[#This Row],[EstimatedLoss_RM]]/0.8</f>
        <v>1687.375</v>
      </c>
      <c r="H228" t="str" cm="1">
        <f t="array" ref="H228">_xlfn.IFS(C228&lt;=5, "0–5 years", C228&lt;=10, "6–10 years", C228&lt;=15, "11–15 years", C228&lt;=20, "16–20 years", TRUE, "21–25 years")</f>
        <v>6–10 years</v>
      </c>
    </row>
    <row r="229" spans="1:8" x14ac:dyDescent="0.3">
      <c r="A229" t="s">
        <v>1423</v>
      </c>
      <c r="B229" t="s">
        <v>38</v>
      </c>
      <c r="C229">
        <v>2</v>
      </c>
      <c r="D229" s="2">
        <v>95.52</v>
      </c>
      <c r="E229" t="s">
        <v>1041</v>
      </c>
      <c r="F229" s="11">
        <v>1376.75</v>
      </c>
      <c r="G229">
        <f>Meter[[#This Row],[EstimatedLoss_RM]]/0.8</f>
        <v>1720.9375</v>
      </c>
      <c r="H229" t="str" cm="1">
        <f t="array" ref="H229">_xlfn.IFS(C229&lt;=5, "0–5 years", C229&lt;=10, "6–10 years", C229&lt;=15, "11–15 years", C229&lt;=20, "16–20 years", TRUE, "21–25 years")</f>
        <v>0–5 years</v>
      </c>
    </row>
    <row r="230" spans="1:8" x14ac:dyDescent="0.3">
      <c r="A230" t="s">
        <v>1311</v>
      </c>
      <c r="B230" t="s">
        <v>40</v>
      </c>
      <c r="C230">
        <v>4</v>
      </c>
      <c r="D230" s="9">
        <v>95.52</v>
      </c>
      <c r="E230" t="s">
        <v>1045</v>
      </c>
      <c r="F230" s="10">
        <v>1382.65</v>
      </c>
      <c r="G230">
        <f>Meter[[#This Row],[EstimatedLoss_RM]]/0.8</f>
        <v>1728.3125</v>
      </c>
      <c r="H230" t="str" cm="1">
        <f t="array" ref="H230">_xlfn.IFS(C230&lt;=5, "0–5 years", C230&lt;=10, "6–10 years", C230&lt;=15, "11–15 years", C230&lt;=20, "16–20 years", TRUE, "21–25 years")</f>
        <v>0–5 years</v>
      </c>
    </row>
    <row r="231" spans="1:8" x14ac:dyDescent="0.3">
      <c r="A231" t="s">
        <v>1687</v>
      </c>
      <c r="B231" t="s">
        <v>49</v>
      </c>
      <c r="C231">
        <v>5</v>
      </c>
      <c r="D231" s="2">
        <v>95.51</v>
      </c>
      <c r="E231" t="s">
        <v>1045</v>
      </c>
      <c r="F231" s="11">
        <v>1385.32</v>
      </c>
      <c r="G231">
        <f>Meter[[#This Row],[EstimatedLoss_RM]]/0.8</f>
        <v>1731.6499999999999</v>
      </c>
      <c r="H231" t="str" cm="1">
        <f t="array" ref="H231">_xlfn.IFS(C231&lt;=5, "0–5 years", C231&lt;=10, "6–10 years", C231&lt;=15, "11–15 years", C231&lt;=20, "16–20 years", TRUE, "21–25 years")</f>
        <v>0–5 years</v>
      </c>
    </row>
    <row r="232" spans="1:8" x14ac:dyDescent="0.3">
      <c r="A232" t="s">
        <v>1108</v>
      </c>
      <c r="B232" t="s">
        <v>45</v>
      </c>
      <c r="C232">
        <v>13</v>
      </c>
      <c r="D232" s="9">
        <v>95.51</v>
      </c>
      <c r="E232" t="s">
        <v>1043</v>
      </c>
      <c r="F232" s="10">
        <v>1389.05</v>
      </c>
      <c r="G232">
        <f>Meter[[#This Row],[EstimatedLoss_RM]]/0.8</f>
        <v>1736.3124999999998</v>
      </c>
      <c r="H232" t="str" cm="1">
        <f t="array" ref="H232">_xlfn.IFS(C232&lt;=5, "0–5 years", C232&lt;=10, "6–10 years", C232&lt;=15, "11–15 years", C232&lt;=20, "16–20 years", TRUE, "21–25 years")</f>
        <v>11–15 years</v>
      </c>
    </row>
    <row r="233" spans="1:8" x14ac:dyDescent="0.3">
      <c r="A233" t="s">
        <v>1431</v>
      </c>
      <c r="B233" t="s">
        <v>50</v>
      </c>
      <c r="C233">
        <v>11</v>
      </c>
      <c r="D233" s="2">
        <v>95.5</v>
      </c>
      <c r="E233" t="s">
        <v>1043</v>
      </c>
      <c r="F233" s="11">
        <v>1389.81</v>
      </c>
      <c r="G233">
        <f>Meter[[#This Row],[EstimatedLoss_RM]]/0.8</f>
        <v>1737.2624999999998</v>
      </c>
      <c r="H233" t="str" cm="1">
        <f t="array" ref="H233">_xlfn.IFS(C233&lt;=5, "0–5 years", C233&lt;=10, "6–10 years", C233&lt;=15, "11–15 years", C233&lt;=20, "16–20 years", TRUE, "21–25 years")</f>
        <v>11–15 years</v>
      </c>
    </row>
    <row r="234" spans="1:8" x14ac:dyDescent="0.3">
      <c r="A234" t="s">
        <v>1940</v>
      </c>
      <c r="B234" t="s">
        <v>46</v>
      </c>
      <c r="C234">
        <v>7</v>
      </c>
      <c r="D234" s="9">
        <v>95.49</v>
      </c>
      <c r="E234" t="s">
        <v>1045</v>
      </c>
      <c r="F234" s="10">
        <v>1392.22</v>
      </c>
      <c r="G234">
        <f>Meter[[#This Row],[EstimatedLoss_RM]]/0.8</f>
        <v>1740.2749999999999</v>
      </c>
      <c r="H234" t="str" cm="1">
        <f t="array" ref="H234">_xlfn.IFS(C234&lt;=5, "0–5 years", C234&lt;=10, "6–10 years", C234&lt;=15, "11–15 years", C234&lt;=20, "16–20 years", TRUE, "21–25 years")</f>
        <v>6–10 years</v>
      </c>
    </row>
    <row r="235" spans="1:8" x14ac:dyDescent="0.3">
      <c r="A235" t="s">
        <v>1351</v>
      </c>
      <c r="B235" t="s">
        <v>39</v>
      </c>
      <c r="C235">
        <v>9</v>
      </c>
      <c r="D235" s="2">
        <v>95.49</v>
      </c>
      <c r="E235" t="s">
        <v>1041</v>
      </c>
      <c r="F235" s="11">
        <v>1392.64</v>
      </c>
      <c r="G235">
        <f>Meter[[#This Row],[EstimatedLoss_RM]]/0.8</f>
        <v>1740.8</v>
      </c>
      <c r="H235" t="str" cm="1">
        <f t="array" ref="H235">_xlfn.IFS(C235&lt;=5, "0–5 years", C235&lt;=10, "6–10 years", C235&lt;=15, "11–15 years", C235&lt;=20, "16–20 years", TRUE, "21–25 years")</f>
        <v>6–10 years</v>
      </c>
    </row>
    <row r="236" spans="1:8" x14ac:dyDescent="0.3">
      <c r="A236" t="s">
        <v>1089</v>
      </c>
      <c r="B236" t="s">
        <v>38</v>
      </c>
      <c r="C236">
        <v>4</v>
      </c>
      <c r="D236" s="9">
        <v>95.48</v>
      </c>
      <c r="E236" t="s">
        <v>1045</v>
      </c>
      <c r="F236" s="10">
        <v>1395.57</v>
      </c>
      <c r="G236">
        <f>Meter[[#This Row],[EstimatedLoss_RM]]/0.8</f>
        <v>1744.4624999999999</v>
      </c>
      <c r="H236" t="str" cm="1">
        <f t="array" ref="H236">_xlfn.IFS(C236&lt;=5, "0–5 years", C236&lt;=10, "6–10 years", C236&lt;=15, "11–15 years", C236&lt;=20, "16–20 years", TRUE, "21–25 years")</f>
        <v>0–5 years</v>
      </c>
    </row>
    <row r="237" spans="1:8" x14ac:dyDescent="0.3">
      <c r="A237" t="s">
        <v>1575</v>
      </c>
      <c r="B237" t="s">
        <v>46</v>
      </c>
      <c r="C237">
        <v>6</v>
      </c>
      <c r="D237" s="2">
        <v>95.47</v>
      </c>
      <c r="E237" t="s">
        <v>1041</v>
      </c>
      <c r="F237" s="11">
        <v>1400.94</v>
      </c>
      <c r="G237">
        <f>Meter[[#This Row],[EstimatedLoss_RM]]/0.8</f>
        <v>1751.175</v>
      </c>
      <c r="H237" t="str" cm="1">
        <f t="array" ref="H237">_xlfn.IFS(C237&lt;=5, "0–5 years", C237&lt;=10, "6–10 years", C237&lt;=15, "11–15 years", C237&lt;=20, "16–20 years", TRUE, "21–25 years")</f>
        <v>6–10 years</v>
      </c>
    </row>
    <row r="238" spans="1:8" x14ac:dyDescent="0.3">
      <c r="A238" t="s">
        <v>1475</v>
      </c>
      <c r="B238" t="s">
        <v>52</v>
      </c>
      <c r="C238">
        <v>5</v>
      </c>
      <c r="D238" s="9">
        <v>95.46</v>
      </c>
      <c r="E238" t="s">
        <v>1043</v>
      </c>
      <c r="F238" s="10">
        <v>1406.2</v>
      </c>
      <c r="G238">
        <f>Meter[[#This Row],[EstimatedLoss_RM]]/0.8</f>
        <v>1757.75</v>
      </c>
      <c r="H238" t="str" cm="1">
        <f t="array" ref="H238">_xlfn.IFS(C238&lt;=5, "0–5 years", C238&lt;=10, "6–10 years", C238&lt;=15, "11–15 years", C238&lt;=20, "16–20 years", TRUE, "21–25 years")</f>
        <v>0–5 years</v>
      </c>
    </row>
    <row r="239" spans="1:8" x14ac:dyDescent="0.3">
      <c r="A239" t="s">
        <v>1230</v>
      </c>
      <c r="B239" t="s">
        <v>50</v>
      </c>
      <c r="C239">
        <v>6</v>
      </c>
      <c r="D239" s="2">
        <v>95.45</v>
      </c>
      <c r="E239" t="s">
        <v>1045</v>
      </c>
      <c r="F239" s="11">
        <v>1408.85</v>
      </c>
      <c r="G239">
        <f>Meter[[#This Row],[EstimatedLoss_RM]]/0.8</f>
        <v>1761.0624999999998</v>
      </c>
      <c r="H239" t="str" cm="1">
        <f t="array" ref="H239">_xlfn.IFS(C239&lt;=5, "0–5 years", C239&lt;=10, "6–10 years", C239&lt;=15, "11–15 years", C239&lt;=20, "16–20 years", TRUE, "21–25 years")</f>
        <v>6–10 years</v>
      </c>
    </row>
    <row r="240" spans="1:8" x14ac:dyDescent="0.3">
      <c r="A240" t="s">
        <v>1615</v>
      </c>
      <c r="B240" t="s">
        <v>50</v>
      </c>
      <c r="C240">
        <v>8</v>
      </c>
      <c r="D240" s="9">
        <v>95.45</v>
      </c>
      <c r="E240" t="s">
        <v>1045</v>
      </c>
      <c r="F240" s="10">
        <v>1410.53</v>
      </c>
      <c r="G240">
        <f>Meter[[#This Row],[EstimatedLoss_RM]]/0.8</f>
        <v>1763.1624999999999</v>
      </c>
      <c r="H240" t="str" cm="1">
        <f t="array" ref="H240">_xlfn.IFS(C240&lt;=5, "0–5 years", C240&lt;=10, "6–10 years", C240&lt;=15, "11–15 years", C240&lt;=20, "16–20 years", TRUE, "21–25 years")</f>
        <v>6–10 years</v>
      </c>
    </row>
    <row r="241" spans="1:8" x14ac:dyDescent="0.3">
      <c r="A241" t="s">
        <v>1261</v>
      </c>
      <c r="B241" t="s">
        <v>44</v>
      </c>
      <c r="C241">
        <v>4</v>
      </c>
      <c r="D241" s="2">
        <v>95.43</v>
      </c>
      <c r="E241" t="s">
        <v>1041</v>
      </c>
      <c r="F241" s="11">
        <v>1411.84</v>
      </c>
      <c r="G241">
        <f>Meter[[#This Row],[EstimatedLoss_RM]]/0.8</f>
        <v>1764.7999999999997</v>
      </c>
      <c r="H241" t="str" cm="1">
        <f t="array" ref="H241">_xlfn.IFS(C241&lt;=5, "0–5 years", C241&lt;=10, "6–10 years", C241&lt;=15, "11–15 years", C241&lt;=20, "16–20 years", TRUE, "21–25 years")</f>
        <v>0–5 years</v>
      </c>
    </row>
    <row r="242" spans="1:8" x14ac:dyDescent="0.3">
      <c r="A242" t="s">
        <v>1250</v>
      </c>
      <c r="B242" t="s">
        <v>42</v>
      </c>
      <c r="C242">
        <v>9</v>
      </c>
      <c r="D242" s="9">
        <v>95.43</v>
      </c>
      <c r="E242" t="s">
        <v>1043</v>
      </c>
      <c r="F242" s="10">
        <v>1421.11</v>
      </c>
      <c r="G242">
        <f>Meter[[#This Row],[EstimatedLoss_RM]]/0.8</f>
        <v>1776.3874999999998</v>
      </c>
      <c r="H242" t="str" cm="1">
        <f t="array" ref="H242">_xlfn.IFS(C242&lt;=5, "0–5 years", C242&lt;=10, "6–10 years", C242&lt;=15, "11–15 years", C242&lt;=20, "16–20 years", TRUE, "21–25 years")</f>
        <v>6–10 years</v>
      </c>
    </row>
    <row r="243" spans="1:8" x14ac:dyDescent="0.3">
      <c r="A243" t="s">
        <v>1763</v>
      </c>
      <c r="B243" t="s">
        <v>52</v>
      </c>
      <c r="C243">
        <v>8</v>
      </c>
      <c r="D243" s="2">
        <v>95.42</v>
      </c>
      <c r="E243" t="s">
        <v>1041</v>
      </c>
      <c r="F243" s="11">
        <v>1421.24</v>
      </c>
      <c r="G243">
        <f>Meter[[#This Row],[EstimatedLoss_RM]]/0.8</f>
        <v>1776.55</v>
      </c>
      <c r="H243" t="str" cm="1">
        <f t="array" ref="H243">_xlfn.IFS(C243&lt;=5, "0–5 years", C243&lt;=10, "6–10 years", C243&lt;=15, "11–15 years", C243&lt;=20, "16–20 years", TRUE, "21–25 years")</f>
        <v>6–10 years</v>
      </c>
    </row>
    <row r="244" spans="1:8" x14ac:dyDescent="0.3">
      <c r="A244" t="s">
        <v>1852</v>
      </c>
      <c r="B244" t="s">
        <v>41</v>
      </c>
      <c r="C244">
        <v>2</v>
      </c>
      <c r="D244" s="9">
        <v>95.41</v>
      </c>
      <c r="E244" t="s">
        <v>1041</v>
      </c>
      <c r="F244" s="10">
        <v>1425.41</v>
      </c>
      <c r="G244">
        <f>Meter[[#This Row],[EstimatedLoss_RM]]/0.8</f>
        <v>1781.7625</v>
      </c>
      <c r="H244" t="str" cm="1">
        <f t="array" ref="H244">_xlfn.IFS(C244&lt;=5, "0–5 years", C244&lt;=10, "6–10 years", C244&lt;=15, "11–15 years", C244&lt;=20, "16–20 years", TRUE, "21–25 years")</f>
        <v>0–5 years</v>
      </c>
    </row>
    <row r="245" spans="1:8" x14ac:dyDescent="0.3">
      <c r="A245" t="s">
        <v>1934</v>
      </c>
      <c r="B245" t="s">
        <v>53</v>
      </c>
      <c r="C245">
        <v>9</v>
      </c>
      <c r="D245" s="2">
        <v>95.41</v>
      </c>
      <c r="E245" t="s">
        <v>1045</v>
      </c>
      <c r="F245" s="11">
        <v>1437.37</v>
      </c>
      <c r="G245">
        <f>Meter[[#This Row],[EstimatedLoss_RM]]/0.8</f>
        <v>1796.7124999999999</v>
      </c>
      <c r="H245" t="str" cm="1">
        <f t="array" ref="H245">_xlfn.IFS(C245&lt;=5, "0–5 years", C245&lt;=10, "6–10 years", C245&lt;=15, "11–15 years", C245&lt;=20, "16–20 years", TRUE, "21–25 years")</f>
        <v>6–10 years</v>
      </c>
    </row>
    <row r="246" spans="1:8" x14ac:dyDescent="0.3">
      <c r="A246" t="s">
        <v>1128</v>
      </c>
      <c r="B246" t="s">
        <v>40</v>
      </c>
      <c r="C246">
        <v>4</v>
      </c>
      <c r="D246" s="9">
        <v>95.4</v>
      </c>
      <c r="E246" t="s">
        <v>1045</v>
      </c>
      <c r="F246" s="10">
        <v>1445.44</v>
      </c>
      <c r="G246">
        <f>Meter[[#This Row],[EstimatedLoss_RM]]/0.8</f>
        <v>1806.8</v>
      </c>
      <c r="H246" t="str" cm="1">
        <f t="array" ref="H246">_xlfn.IFS(C246&lt;=5, "0–5 years", C246&lt;=10, "6–10 years", C246&lt;=15, "11–15 years", C246&lt;=20, "16–20 years", TRUE, "21–25 years")</f>
        <v>0–5 years</v>
      </c>
    </row>
    <row r="247" spans="1:8" x14ac:dyDescent="0.3">
      <c r="A247" t="s">
        <v>1532</v>
      </c>
      <c r="B247" t="s">
        <v>49</v>
      </c>
      <c r="C247">
        <v>11</v>
      </c>
      <c r="D247" s="2">
        <v>95.36</v>
      </c>
      <c r="E247" t="s">
        <v>1043</v>
      </c>
      <c r="F247" s="11">
        <v>1446.69</v>
      </c>
      <c r="G247">
        <f>Meter[[#This Row],[EstimatedLoss_RM]]/0.8</f>
        <v>1808.3625</v>
      </c>
      <c r="H247" t="str" cm="1">
        <f t="array" ref="H247">_xlfn.IFS(C247&lt;=5, "0–5 years", C247&lt;=10, "6–10 years", C247&lt;=15, "11–15 years", C247&lt;=20, "16–20 years", TRUE, "21–25 years")</f>
        <v>11–15 years</v>
      </c>
    </row>
    <row r="248" spans="1:8" x14ac:dyDescent="0.3">
      <c r="A248" t="s">
        <v>1884</v>
      </c>
      <c r="B248" t="s">
        <v>45</v>
      </c>
      <c r="C248">
        <v>10</v>
      </c>
      <c r="D248" s="9">
        <v>95.35</v>
      </c>
      <c r="E248" t="s">
        <v>1043</v>
      </c>
      <c r="F248" s="10">
        <v>1452</v>
      </c>
      <c r="G248">
        <f>Meter[[#This Row],[EstimatedLoss_RM]]/0.8</f>
        <v>1815</v>
      </c>
      <c r="H248" t="str" cm="1">
        <f t="array" ref="H248">_xlfn.IFS(C248&lt;=5, "0–5 years", C248&lt;=10, "6–10 years", C248&lt;=15, "11–15 years", C248&lt;=20, "16–20 years", TRUE, "21–25 years")</f>
        <v>6–10 years</v>
      </c>
    </row>
    <row r="249" spans="1:8" x14ac:dyDescent="0.3">
      <c r="A249" t="s">
        <v>1724</v>
      </c>
      <c r="B249" t="s">
        <v>47</v>
      </c>
      <c r="C249">
        <v>1</v>
      </c>
      <c r="D249" s="2">
        <v>95.34</v>
      </c>
      <c r="E249" t="s">
        <v>1045</v>
      </c>
      <c r="F249" s="11">
        <v>1463.97</v>
      </c>
      <c r="G249">
        <f>Meter[[#This Row],[EstimatedLoss_RM]]/0.8</f>
        <v>1829.9624999999999</v>
      </c>
      <c r="H249" t="str" cm="1">
        <f t="array" ref="H249">_xlfn.IFS(C249&lt;=5, "0–5 years", C249&lt;=10, "6–10 years", C249&lt;=15, "11–15 years", C249&lt;=20, "16–20 years", TRUE, "21–25 years")</f>
        <v>0–5 years</v>
      </c>
    </row>
    <row r="250" spans="1:8" x14ac:dyDescent="0.3">
      <c r="A250" t="s">
        <v>1892</v>
      </c>
      <c r="B250" t="s">
        <v>48</v>
      </c>
      <c r="C250">
        <v>4</v>
      </c>
      <c r="D250" s="9">
        <v>95.34</v>
      </c>
      <c r="E250" t="s">
        <v>1045</v>
      </c>
      <c r="F250" s="10">
        <v>1466.42</v>
      </c>
      <c r="G250">
        <f>Meter[[#This Row],[EstimatedLoss_RM]]/0.8</f>
        <v>1833.0250000000001</v>
      </c>
      <c r="H250" t="str" cm="1">
        <f t="array" ref="H250">_xlfn.IFS(C250&lt;=5, "0–5 years", C250&lt;=10, "6–10 years", C250&lt;=15, "11–15 years", C250&lt;=20, "16–20 years", TRUE, "21–25 years")</f>
        <v>0–5 years</v>
      </c>
    </row>
    <row r="251" spans="1:8" x14ac:dyDescent="0.3">
      <c r="A251" t="s">
        <v>1471</v>
      </c>
      <c r="B251" t="s">
        <v>47</v>
      </c>
      <c r="C251">
        <v>12</v>
      </c>
      <c r="D251" s="2">
        <v>95.32</v>
      </c>
      <c r="E251" t="s">
        <v>1045</v>
      </c>
      <c r="F251" s="11">
        <v>1470.6</v>
      </c>
      <c r="G251">
        <f>Meter[[#This Row],[EstimatedLoss_RM]]/0.8</f>
        <v>1838.2499999999998</v>
      </c>
      <c r="H251" t="str" cm="1">
        <f t="array" ref="H251">_xlfn.IFS(C251&lt;=5, "0–5 years", C251&lt;=10, "6–10 years", C251&lt;=15, "11–15 years", C251&lt;=20, "16–20 years", TRUE, "21–25 years")</f>
        <v>11–15 years</v>
      </c>
    </row>
    <row r="252" spans="1:8" x14ac:dyDescent="0.3">
      <c r="A252" t="s">
        <v>1755</v>
      </c>
      <c r="B252" t="s">
        <v>53</v>
      </c>
      <c r="C252">
        <v>4</v>
      </c>
      <c r="D252" s="9">
        <v>95.31</v>
      </c>
      <c r="E252" t="s">
        <v>1045</v>
      </c>
      <c r="F252" s="10">
        <v>1482.8</v>
      </c>
      <c r="G252">
        <f>Meter[[#This Row],[EstimatedLoss_RM]]/0.8</f>
        <v>1853.4999999999998</v>
      </c>
      <c r="H252" t="str" cm="1">
        <f t="array" ref="H252">_xlfn.IFS(C252&lt;=5, "0–5 years", C252&lt;=10, "6–10 years", C252&lt;=15, "11–15 years", C252&lt;=20, "16–20 years", TRUE, "21–25 years")</f>
        <v>0–5 years</v>
      </c>
    </row>
    <row r="253" spans="1:8" x14ac:dyDescent="0.3">
      <c r="A253" t="s">
        <v>1653</v>
      </c>
      <c r="B253" t="s">
        <v>44</v>
      </c>
      <c r="C253">
        <v>10</v>
      </c>
      <c r="D253" s="2">
        <v>95.31</v>
      </c>
      <c r="E253" t="s">
        <v>1043</v>
      </c>
      <c r="F253" s="11">
        <v>1495.17</v>
      </c>
      <c r="G253">
        <f>Meter[[#This Row],[EstimatedLoss_RM]]/0.8</f>
        <v>1868.9625000000001</v>
      </c>
      <c r="H253" t="str" cm="1">
        <f t="array" ref="H253">_xlfn.IFS(C253&lt;=5, "0–5 years", C253&lt;=10, "6–10 years", C253&lt;=15, "11–15 years", C253&lt;=20, "16–20 years", TRUE, "21–25 years")</f>
        <v>6–10 years</v>
      </c>
    </row>
    <row r="254" spans="1:8" x14ac:dyDescent="0.3">
      <c r="A254" t="s">
        <v>1551</v>
      </c>
      <c r="B254" t="s">
        <v>45</v>
      </c>
      <c r="C254">
        <v>7</v>
      </c>
      <c r="D254" s="9">
        <v>95.3</v>
      </c>
      <c r="E254" t="s">
        <v>1045</v>
      </c>
      <c r="F254" s="10">
        <v>1496.79</v>
      </c>
      <c r="G254">
        <f>Meter[[#This Row],[EstimatedLoss_RM]]/0.8</f>
        <v>1870.9875</v>
      </c>
      <c r="H254" t="str" cm="1">
        <f t="array" ref="H254">_xlfn.IFS(C254&lt;=5, "0–5 years", C254&lt;=10, "6–10 years", C254&lt;=15, "11–15 years", C254&lt;=20, "16–20 years", TRUE, "21–25 years")</f>
        <v>6–10 years</v>
      </c>
    </row>
    <row r="255" spans="1:8" x14ac:dyDescent="0.3">
      <c r="A255" t="s">
        <v>1619</v>
      </c>
      <c r="B255" t="s">
        <v>42</v>
      </c>
      <c r="C255">
        <v>8</v>
      </c>
      <c r="D255" s="2">
        <v>95.27</v>
      </c>
      <c r="E255" t="s">
        <v>1043</v>
      </c>
      <c r="F255" s="11">
        <v>1500.26</v>
      </c>
      <c r="G255">
        <f>Meter[[#This Row],[EstimatedLoss_RM]]/0.8</f>
        <v>1875.3249999999998</v>
      </c>
      <c r="H255" t="str" cm="1">
        <f t="array" ref="H255">_xlfn.IFS(C255&lt;=5, "0–5 years", C255&lt;=10, "6–10 years", C255&lt;=15, "11–15 years", C255&lt;=20, "16–20 years", TRUE, "21–25 years")</f>
        <v>6–10 years</v>
      </c>
    </row>
    <row r="256" spans="1:8" x14ac:dyDescent="0.3">
      <c r="A256" t="s">
        <v>1718</v>
      </c>
      <c r="B256" t="s">
        <v>39</v>
      </c>
      <c r="C256">
        <v>3</v>
      </c>
      <c r="D256" s="9">
        <v>95.24</v>
      </c>
      <c r="E256" t="s">
        <v>1043</v>
      </c>
      <c r="F256" s="10">
        <v>1501.55</v>
      </c>
      <c r="G256">
        <f>Meter[[#This Row],[EstimatedLoss_RM]]/0.8</f>
        <v>1876.9374999999998</v>
      </c>
      <c r="H256" t="str" cm="1">
        <f t="array" ref="H256">_xlfn.IFS(C256&lt;=5, "0–5 years", C256&lt;=10, "6–10 years", C256&lt;=15, "11–15 years", C256&lt;=20, "16–20 years", TRUE, "21–25 years")</f>
        <v>0–5 years</v>
      </c>
    </row>
    <row r="257" spans="1:8" x14ac:dyDescent="0.3">
      <c r="A257" t="s">
        <v>1812</v>
      </c>
      <c r="B257" t="s">
        <v>42</v>
      </c>
      <c r="C257">
        <v>16</v>
      </c>
      <c r="D257" s="2">
        <v>95.22</v>
      </c>
      <c r="E257" t="s">
        <v>1045</v>
      </c>
      <c r="F257" s="11">
        <v>1508.41</v>
      </c>
      <c r="G257">
        <f>Meter[[#This Row],[EstimatedLoss_RM]]/0.8</f>
        <v>1885.5125</v>
      </c>
      <c r="H257" t="str" cm="1">
        <f t="array" ref="H257">_xlfn.IFS(C257&lt;=5, "0–5 years", C257&lt;=10, "6–10 years", C257&lt;=15, "11–15 years", C257&lt;=20, "16–20 years", TRUE, "21–25 years")</f>
        <v>16–20 years</v>
      </c>
    </row>
    <row r="258" spans="1:8" x14ac:dyDescent="0.3">
      <c r="A258" t="s">
        <v>1141</v>
      </c>
      <c r="B258" t="s">
        <v>53</v>
      </c>
      <c r="C258">
        <v>7</v>
      </c>
      <c r="D258" s="9">
        <v>95.21</v>
      </c>
      <c r="E258" t="s">
        <v>1045</v>
      </c>
      <c r="F258" s="10">
        <v>1544.33</v>
      </c>
      <c r="G258">
        <f>Meter[[#This Row],[EstimatedLoss_RM]]/0.8</f>
        <v>1930.4124999999999</v>
      </c>
      <c r="H258" t="str" cm="1">
        <f t="array" ref="H258">_xlfn.IFS(C258&lt;=5, "0–5 years", C258&lt;=10, "6–10 years", C258&lt;=15, "11–15 years", C258&lt;=20, "16–20 years", TRUE, "21–25 years")</f>
        <v>6–10 years</v>
      </c>
    </row>
    <row r="259" spans="1:8" x14ac:dyDescent="0.3">
      <c r="A259" t="s">
        <v>1526</v>
      </c>
      <c r="B259" t="s">
        <v>45</v>
      </c>
      <c r="C259">
        <v>8</v>
      </c>
      <c r="D259" s="2">
        <v>95.21</v>
      </c>
      <c r="E259" t="s">
        <v>1043</v>
      </c>
      <c r="F259" s="11">
        <v>1545.57</v>
      </c>
      <c r="G259">
        <f>Meter[[#This Row],[EstimatedLoss_RM]]/0.8</f>
        <v>1931.9624999999999</v>
      </c>
      <c r="H259" t="str" cm="1">
        <f t="array" ref="H259">_xlfn.IFS(C259&lt;=5, "0–5 years", C259&lt;=10, "6–10 years", C259&lt;=15, "11–15 years", C259&lt;=20, "16–20 years", TRUE, "21–25 years")</f>
        <v>6–10 years</v>
      </c>
    </row>
    <row r="260" spans="1:8" x14ac:dyDescent="0.3">
      <c r="A260" t="s">
        <v>1502</v>
      </c>
      <c r="B260" t="s">
        <v>50</v>
      </c>
      <c r="C260">
        <v>1</v>
      </c>
      <c r="D260" s="9">
        <v>95.2</v>
      </c>
      <c r="E260" t="s">
        <v>1045</v>
      </c>
      <c r="F260" s="10">
        <v>1547.16</v>
      </c>
      <c r="G260">
        <f>Meter[[#This Row],[EstimatedLoss_RM]]/0.8</f>
        <v>1933.95</v>
      </c>
      <c r="H260" t="str" cm="1">
        <f t="array" ref="H260">_xlfn.IFS(C260&lt;=5, "0–5 years", C260&lt;=10, "6–10 years", C260&lt;=15, "11–15 years", C260&lt;=20, "16–20 years", TRUE, "21–25 years")</f>
        <v>0–5 years</v>
      </c>
    </row>
    <row r="261" spans="1:8" x14ac:dyDescent="0.3">
      <c r="A261" t="s">
        <v>1082</v>
      </c>
      <c r="B261" t="s">
        <v>49</v>
      </c>
      <c r="C261">
        <v>8</v>
      </c>
      <c r="D261" s="2">
        <v>95.19</v>
      </c>
      <c r="E261" t="s">
        <v>1045</v>
      </c>
      <c r="F261" s="11">
        <v>1547.23</v>
      </c>
      <c r="G261">
        <f>Meter[[#This Row],[EstimatedLoss_RM]]/0.8</f>
        <v>1934.0374999999999</v>
      </c>
      <c r="H261" t="str" cm="1">
        <f t="array" ref="H261">_xlfn.IFS(C261&lt;=5, "0–5 years", C261&lt;=10, "6–10 years", C261&lt;=15, "11–15 years", C261&lt;=20, "16–20 years", TRUE, "21–25 years")</f>
        <v>6–10 years</v>
      </c>
    </row>
    <row r="262" spans="1:8" x14ac:dyDescent="0.3">
      <c r="A262" t="s">
        <v>1373</v>
      </c>
      <c r="B262" t="s">
        <v>52</v>
      </c>
      <c r="C262">
        <v>7</v>
      </c>
      <c r="D262" s="9">
        <v>95.18</v>
      </c>
      <c r="E262" t="s">
        <v>1043</v>
      </c>
      <c r="F262" s="10">
        <v>1550.75</v>
      </c>
      <c r="G262">
        <f>Meter[[#This Row],[EstimatedLoss_RM]]/0.8</f>
        <v>1938.4375</v>
      </c>
      <c r="H262" t="str" cm="1">
        <f t="array" ref="H262">_xlfn.IFS(C262&lt;=5, "0–5 years", C262&lt;=10, "6–10 years", C262&lt;=15, "11–15 years", C262&lt;=20, "16–20 years", TRUE, "21–25 years")</f>
        <v>6–10 years</v>
      </c>
    </row>
    <row r="263" spans="1:8" x14ac:dyDescent="0.3">
      <c r="A263" t="s">
        <v>1882</v>
      </c>
      <c r="B263" t="s">
        <v>42</v>
      </c>
      <c r="C263">
        <v>6</v>
      </c>
      <c r="D263" s="2">
        <v>95.17</v>
      </c>
      <c r="E263" t="s">
        <v>1045</v>
      </c>
      <c r="F263" s="11">
        <v>1553.56</v>
      </c>
      <c r="G263">
        <f>Meter[[#This Row],[EstimatedLoss_RM]]/0.8</f>
        <v>1941.9499999999998</v>
      </c>
      <c r="H263" t="str" cm="1">
        <f t="array" ref="H263">_xlfn.IFS(C263&lt;=5, "0–5 years", C263&lt;=10, "6–10 years", C263&lt;=15, "11–15 years", C263&lt;=20, "16–20 years", TRUE, "21–25 years")</f>
        <v>6–10 years</v>
      </c>
    </row>
    <row r="264" spans="1:8" x14ac:dyDescent="0.3">
      <c r="A264" t="s">
        <v>1811</v>
      </c>
      <c r="B264" t="s">
        <v>44</v>
      </c>
      <c r="C264">
        <v>4</v>
      </c>
      <c r="D264" s="9">
        <v>95.15</v>
      </c>
      <c r="E264" t="s">
        <v>1043</v>
      </c>
      <c r="F264" s="10">
        <v>1554.41</v>
      </c>
      <c r="G264">
        <f>Meter[[#This Row],[EstimatedLoss_RM]]/0.8</f>
        <v>1943.0125</v>
      </c>
      <c r="H264" t="str" cm="1">
        <f t="array" ref="H264">_xlfn.IFS(C264&lt;=5, "0–5 years", C264&lt;=10, "6–10 years", C264&lt;=15, "11–15 years", C264&lt;=20, "16–20 years", TRUE, "21–25 years")</f>
        <v>0–5 years</v>
      </c>
    </row>
    <row r="265" spans="1:8" x14ac:dyDescent="0.3">
      <c r="A265" t="s">
        <v>1816</v>
      </c>
      <c r="B265" t="s">
        <v>42</v>
      </c>
      <c r="C265">
        <v>12</v>
      </c>
      <c r="D265" s="2">
        <v>95.15</v>
      </c>
      <c r="E265" t="s">
        <v>1043</v>
      </c>
      <c r="F265" s="11">
        <v>1557.04</v>
      </c>
      <c r="G265">
        <f>Meter[[#This Row],[EstimatedLoss_RM]]/0.8</f>
        <v>1946.3</v>
      </c>
      <c r="H265" t="str" cm="1">
        <f t="array" ref="H265">_xlfn.IFS(C265&lt;=5, "0–5 years", C265&lt;=10, "6–10 years", C265&lt;=15, "11–15 years", C265&lt;=20, "16–20 years", TRUE, "21–25 years")</f>
        <v>11–15 years</v>
      </c>
    </row>
    <row r="266" spans="1:8" x14ac:dyDescent="0.3">
      <c r="A266" t="s">
        <v>1697</v>
      </c>
      <c r="B266" t="s">
        <v>52</v>
      </c>
      <c r="C266">
        <v>20</v>
      </c>
      <c r="D266" s="9">
        <v>95.15</v>
      </c>
      <c r="E266" t="s">
        <v>1045</v>
      </c>
      <c r="F266" s="10">
        <v>1576.02</v>
      </c>
      <c r="G266">
        <f>Meter[[#This Row],[EstimatedLoss_RM]]/0.8</f>
        <v>1970.0249999999999</v>
      </c>
      <c r="H266" t="str" cm="1">
        <f t="array" ref="H266">_xlfn.IFS(C266&lt;=5, "0–5 years", C266&lt;=10, "6–10 years", C266&lt;=15, "11–15 years", C266&lt;=20, "16–20 years", TRUE, "21–25 years")</f>
        <v>16–20 years</v>
      </c>
    </row>
    <row r="267" spans="1:8" x14ac:dyDescent="0.3">
      <c r="A267" t="s">
        <v>1466</v>
      </c>
      <c r="B267" t="s">
        <v>47</v>
      </c>
      <c r="C267">
        <v>12</v>
      </c>
      <c r="D267" s="2">
        <v>95.14</v>
      </c>
      <c r="E267" t="s">
        <v>1041</v>
      </c>
      <c r="F267" s="11">
        <v>1578.8</v>
      </c>
      <c r="G267">
        <f>Meter[[#This Row],[EstimatedLoss_RM]]/0.8</f>
        <v>1973.4999999999998</v>
      </c>
      <c r="H267" t="str" cm="1">
        <f t="array" ref="H267">_xlfn.IFS(C267&lt;=5, "0–5 years", C267&lt;=10, "6–10 years", C267&lt;=15, "11–15 years", C267&lt;=20, "16–20 years", TRUE, "21–25 years")</f>
        <v>11–15 years</v>
      </c>
    </row>
    <row r="268" spans="1:8" x14ac:dyDescent="0.3">
      <c r="A268" t="s">
        <v>1805</v>
      </c>
      <c r="B268" t="s">
        <v>47</v>
      </c>
      <c r="C268">
        <v>20</v>
      </c>
      <c r="D268" s="9">
        <v>95.12</v>
      </c>
      <c r="E268" t="s">
        <v>1043</v>
      </c>
      <c r="F268" s="10">
        <v>1582.08</v>
      </c>
      <c r="G268">
        <f>Meter[[#This Row],[EstimatedLoss_RM]]/0.8</f>
        <v>1977.6</v>
      </c>
      <c r="H268" t="str" cm="1">
        <f t="array" ref="H268">_xlfn.IFS(C268&lt;=5, "0–5 years", C268&lt;=10, "6–10 years", C268&lt;=15, "11–15 years", C268&lt;=20, "16–20 years", TRUE, "21–25 years")</f>
        <v>16–20 years</v>
      </c>
    </row>
    <row r="269" spans="1:8" x14ac:dyDescent="0.3">
      <c r="A269" t="s">
        <v>1630</v>
      </c>
      <c r="B269" t="s">
        <v>42</v>
      </c>
      <c r="C269">
        <v>3</v>
      </c>
      <c r="D269" s="2">
        <v>95.1</v>
      </c>
      <c r="E269" t="s">
        <v>1043</v>
      </c>
      <c r="F269" s="11">
        <v>1582.48</v>
      </c>
      <c r="G269">
        <f>Meter[[#This Row],[EstimatedLoss_RM]]/0.8</f>
        <v>1978.1</v>
      </c>
      <c r="H269" t="str" cm="1">
        <f t="array" ref="H269">_xlfn.IFS(C269&lt;=5, "0–5 years", C269&lt;=10, "6–10 years", C269&lt;=15, "11–15 years", C269&lt;=20, "16–20 years", TRUE, "21–25 years")</f>
        <v>0–5 years</v>
      </c>
    </row>
    <row r="270" spans="1:8" x14ac:dyDescent="0.3">
      <c r="A270" t="s">
        <v>1879</v>
      </c>
      <c r="B270" t="s">
        <v>53</v>
      </c>
      <c r="C270">
        <v>15</v>
      </c>
      <c r="D270" s="9">
        <v>95.1</v>
      </c>
      <c r="E270" t="s">
        <v>1041</v>
      </c>
      <c r="F270" s="10">
        <v>1583.12</v>
      </c>
      <c r="G270">
        <f>Meter[[#This Row],[EstimatedLoss_RM]]/0.8</f>
        <v>1978.8999999999999</v>
      </c>
      <c r="H270" t="str" cm="1">
        <f t="array" ref="H270">_xlfn.IFS(C270&lt;=5, "0–5 years", C270&lt;=10, "6–10 years", C270&lt;=15, "11–15 years", C270&lt;=20, "16–20 years", TRUE, "21–25 years")</f>
        <v>11–15 years</v>
      </c>
    </row>
    <row r="271" spans="1:8" x14ac:dyDescent="0.3">
      <c r="A271" t="s">
        <v>1307</v>
      </c>
      <c r="B271" t="s">
        <v>49</v>
      </c>
      <c r="C271">
        <v>6</v>
      </c>
      <c r="D271" s="2">
        <v>95.09</v>
      </c>
      <c r="E271" t="s">
        <v>1043</v>
      </c>
      <c r="F271" s="11">
        <v>1596.42</v>
      </c>
      <c r="G271">
        <f>Meter[[#This Row],[EstimatedLoss_RM]]/0.8</f>
        <v>1995.5250000000001</v>
      </c>
      <c r="H271" t="str" cm="1">
        <f t="array" ref="H271">_xlfn.IFS(C271&lt;=5, "0–5 years", C271&lt;=10, "6–10 years", C271&lt;=15, "11–15 years", C271&lt;=20, "16–20 years", TRUE, "21–25 years")</f>
        <v>6–10 years</v>
      </c>
    </row>
    <row r="272" spans="1:8" x14ac:dyDescent="0.3">
      <c r="A272" t="s">
        <v>1622</v>
      </c>
      <c r="B272" t="s">
        <v>41</v>
      </c>
      <c r="C272">
        <v>13</v>
      </c>
      <c r="D272" s="9">
        <v>95.09</v>
      </c>
      <c r="E272" t="s">
        <v>1045</v>
      </c>
      <c r="F272" s="10">
        <v>1605.75</v>
      </c>
      <c r="G272">
        <f>Meter[[#This Row],[EstimatedLoss_RM]]/0.8</f>
        <v>2007.1875</v>
      </c>
      <c r="H272" t="str" cm="1">
        <f t="array" ref="H272">_xlfn.IFS(C272&lt;=5, "0–5 years", C272&lt;=10, "6–10 years", C272&lt;=15, "11–15 years", C272&lt;=20, "16–20 years", TRUE, "21–25 years")</f>
        <v>11–15 years</v>
      </c>
    </row>
    <row r="273" spans="1:8" x14ac:dyDescent="0.3">
      <c r="A273" t="s">
        <v>1550</v>
      </c>
      <c r="B273" t="s">
        <v>50</v>
      </c>
      <c r="C273">
        <v>3</v>
      </c>
      <c r="D273" s="2">
        <v>95.07</v>
      </c>
      <c r="E273" t="s">
        <v>1045</v>
      </c>
      <c r="F273" s="11">
        <v>1608.69</v>
      </c>
      <c r="G273">
        <f>Meter[[#This Row],[EstimatedLoss_RM]]/0.8</f>
        <v>2010.8625</v>
      </c>
      <c r="H273" t="str" cm="1">
        <f t="array" ref="H273">_xlfn.IFS(C273&lt;=5, "0–5 years", C273&lt;=10, "6–10 years", C273&lt;=15, "11–15 years", C273&lt;=20, "16–20 years", TRUE, "21–25 years")</f>
        <v>0–5 years</v>
      </c>
    </row>
    <row r="274" spans="1:8" x14ac:dyDescent="0.3">
      <c r="A274" t="s">
        <v>1695</v>
      </c>
      <c r="B274" t="s">
        <v>40</v>
      </c>
      <c r="C274">
        <v>6</v>
      </c>
      <c r="D274" s="9">
        <v>95.06</v>
      </c>
      <c r="E274" t="s">
        <v>1041</v>
      </c>
      <c r="F274" s="10">
        <v>1626.55</v>
      </c>
      <c r="G274">
        <f>Meter[[#This Row],[EstimatedLoss_RM]]/0.8</f>
        <v>2033.1874999999998</v>
      </c>
      <c r="H274" t="str" cm="1">
        <f t="array" ref="H274">_xlfn.IFS(C274&lt;=5, "0–5 years", C274&lt;=10, "6–10 years", C274&lt;=15, "11–15 years", C274&lt;=20, "16–20 years", TRUE, "21–25 years")</f>
        <v>6–10 years</v>
      </c>
    </row>
    <row r="275" spans="1:8" x14ac:dyDescent="0.3">
      <c r="A275" t="s">
        <v>1831</v>
      </c>
      <c r="B275" t="s">
        <v>39</v>
      </c>
      <c r="C275">
        <v>7</v>
      </c>
      <c r="D275" s="2">
        <v>95.06</v>
      </c>
      <c r="E275" t="s">
        <v>1045</v>
      </c>
      <c r="F275" s="11">
        <v>1626.42</v>
      </c>
      <c r="G275">
        <f>Meter[[#This Row],[EstimatedLoss_RM]]/0.8</f>
        <v>2033.0250000000001</v>
      </c>
      <c r="H275" t="str" cm="1">
        <f t="array" ref="H275">_xlfn.IFS(C275&lt;=5, "0–5 years", C275&lt;=10, "6–10 years", C275&lt;=15, "11–15 years", C275&lt;=20, "16–20 years", TRUE, "21–25 years")</f>
        <v>6–10 years</v>
      </c>
    </row>
    <row r="276" spans="1:8" x14ac:dyDescent="0.3">
      <c r="A276" t="s">
        <v>1821</v>
      </c>
      <c r="B276" t="s">
        <v>50</v>
      </c>
      <c r="C276">
        <v>7</v>
      </c>
      <c r="D276" s="9">
        <v>95.05</v>
      </c>
      <c r="E276" t="s">
        <v>1043</v>
      </c>
      <c r="F276" s="10">
        <v>1632.31</v>
      </c>
      <c r="G276">
        <f>Meter[[#This Row],[EstimatedLoss_RM]]/0.8</f>
        <v>2040.3874999999998</v>
      </c>
      <c r="H276" t="str" cm="1">
        <f t="array" ref="H276">_xlfn.IFS(C276&lt;=5, "0–5 years", C276&lt;=10, "6–10 years", C276&lt;=15, "11–15 years", C276&lt;=20, "16–20 years", TRUE, "21–25 years")</f>
        <v>6–10 years</v>
      </c>
    </row>
    <row r="277" spans="1:8" x14ac:dyDescent="0.3">
      <c r="A277" t="s">
        <v>1543</v>
      </c>
      <c r="B277" t="s">
        <v>52</v>
      </c>
      <c r="C277">
        <v>12</v>
      </c>
      <c r="D277" s="2">
        <v>95.05</v>
      </c>
      <c r="E277" t="s">
        <v>1043</v>
      </c>
      <c r="F277" s="11">
        <v>1629.52</v>
      </c>
      <c r="G277">
        <f>Meter[[#This Row],[EstimatedLoss_RM]]/0.8</f>
        <v>2036.8999999999999</v>
      </c>
      <c r="H277" t="str" cm="1">
        <f t="array" ref="H277">_xlfn.IFS(C277&lt;=5, "0–5 years", C277&lt;=10, "6–10 years", C277&lt;=15, "11–15 years", C277&lt;=20, "16–20 years", TRUE, "21–25 years")</f>
        <v>11–15 years</v>
      </c>
    </row>
    <row r="278" spans="1:8" x14ac:dyDescent="0.3">
      <c r="A278" t="s">
        <v>1251</v>
      </c>
      <c r="B278" t="s">
        <v>40</v>
      </c>
      <c r="C278">
        <v>10</v>
      </c>
      <c r="D278" s="9">
        <v>95.03</v>
      </c>
      <c r="E278" t="s">
        <v>1041</v>
      </c>
      <c r="F278" s="10">
        <v>1640.57</v>
      </c>
      <c r="G278">
        <f>Meter[[#This Row],[EstimatedLoss_RM]]/0.8</f>
        <v>2050.7124999999996</v>
      </c>
      <c r="H278" t="str" cm="1">
        <f t="array" ref="H278">_xlfn.IFS(C278&lt;=5, "0–5 years", C278&lt;=10, "6–10 years", C278&lt;=15, "11–15 years", C278&lt;=20, "16–20 years", TRUE, "21–25 years")</f>
        <v>6–10 years</v>
      </c>
    </row>
    <row r="279" spans="1:8" x14ac:dyDescent="0.3">
      <c r="A279" t="s">
        <v>1129</v>
      </c>
      <c r="B279" t="s">
        <v>41</v>
      </c>
      <c r="C279">
        <v>12</v>
      </c>
      <c r="D279" s="2">
        <v>95.03</v>
      </c>
      <c r="E279" t="s">
        <v>1043</v>
      </c>
      <c r="F279" s="11">
        <v>1633.92</v>
      </c>
      <c r="G279">
        <f>Meter[[#This Row],[EstimatedLoss_RM]]/0.8</f>
        <v>2042.4</v>
      </c>
      <c r="H279" t="str" cm="1">
        <f t="array" ref="H279">_xlfn.IFS(C279&lt;=5, "0–5 years", C279&lt;=10, "6–10 years", C279&lt;=15, "11–15 years", C279&lt;=20, "16–20 years", TRUE, "21–25 years")</f>
        <v>11–15 years</v>
      </c>
    </row>
    <row r="280" spans="1:8" x14ac:dyDescent="0.3">
      <c r="A280" t="s">
        <v>1213</v>
      </c>
      <c r="B280" t="s">
        <v>46</v>
      </c>
      <c r="C280">
        <v>3</v>
      </c>
      <c r="D280" s="9">
        <v>95.02</v>
      </c>
      <c r="E280" t="s">
        <v>1041</v>
      </c>
      <c r="F280" s="10">
        <v>1643.01</v>
      </c>
      <c r="G280">
        <f>Meter[[#This Row],[EstimatedLoss_RM]]/0.8</f>
        <v>2053.7624999999998</v>
      </c>
      <c r="H280" t="str" cm="1">
        <f t="array" ref="H280">_xlfn.IFS(C280&lt;=5, "0–5 years", C280&lt;=10, "6–10 years", C280&lt;=15, "11–15 years", C280&lt;=20, "16–20 years", TRUE, "21–25 years")</f>
        <v>0–5 years</v>
      </c>
    </row>
    <row r="281" spans="1:8" x14ac:dyDescent="0.3">
      <c r="A281" t="s">
        <v>1453</v>
      </c>
      <c r="B281" t="s">
        <v>39</v>
      </c>
      <c r="C281">
        <v>11</v>
      </c>
      <c r="D281" s="2">
        <v>95.02</v>
      </c>
      <c r="E281" t="s">
        <v>1041</v>
      </c>
      <c r="F281" s="11">
        <v>1647.66</v>
      </c>
      <c r="G281">
        <f>Meter[[#This Row],[EstimatedLoss_RM]]/0.8</f>
        <v>2059.5749999999998</v>
      </c>
      <c r="H281" t="str" cm="1">
        <f t="array" ref="H281">_xlfn.IFS(C281&lt;=5, "0–5 years", C281&lt;=10, "6–10 years", C281&lt;=15, "11–15 years", C281&lt;=20, "16–20 years", TRUE, "21–25 years")</f>
        <v>11–15 years</v>
      </c>
    </row>
    <row r="282" spans="1:8" x14ac:dyDescent="0.3">
      <c r="A282" t="s">
        <v>1338</v>
      </c>
      <c r="B282" t="s">
        <v>53</v>
      </c>
      <c r="C282">
        <v>4</v>
      </c>
      <c r="D282" s="9">
        <v>95.01</v>
      </c>
      <c r="E282" t="s">
        <v>1043</v>
      </c>
      <c r="F282" s="10">
        <v>1649.38</v>
      </c>
      <c r="G282">
        <f>Meter[[#This Row],[EstimatedLoss_RM]]/0.8</f>
        <v>2061.7249999999999</v>
      </c>
      <c r="H282" t="str" cm="1">
        <f t="array" ref="H282">_xlfn.IFS(C282&lt;=5, "0–5 years", C282&lt;=10, "6–10 years", C282&lt;=15, "11–15 years", C282&lt;=20, "16–20 years", TRUE, "21–25 years")</f>
        <v>0–5 years</v>
      </c>
    </row>
    <row r="283" spans="1:8" x14ac:dyDescent="0.3">
      <c r="A283" t="s">
        <v>1354</v>
      </c>
      <c r="B283" t="s">
        <v>38</v>
      </c>
      <c r="C283">
        <v>13</v>
      </c>
      <c r="D283" s="2">
        <v>95</v>
      </c>
      <c r="E283" t="s">
        <v>1045</v>
      </c>
      <c r="F283" s="11">
        <v>1658.73</v>
      </c>
      <c r="G283">
        <f>Meter[[#This Row],[EstimatedLoss_RM]]/0.8</f>
        <v>2073.4124999999999</v>
      </c>
      <c r="H283" t="str" cm="1">
        <f t="array" ref="H283">_xlfn.IFS(C283&lt;=5, "0–5 years", C283&lt;=10, "6–10 years", C283&lt;=15, "11–15 years", C283&lt;=20, "16–20 years", TRUE, "21–25 years")</f>
        <v>11–15 years</v>
      </c>
    </row>
    <row r="284" spans="1:8" x14ac:dyDescent="0.3">
      <c r="A284" t="s">
        <v>1865</v>
      </c>
      <c r="B284" t="s">
        <v>48</v>
      </c>
      <c r="C284">
        <v>19</v>
      </c>
      <c r="D284" s="9">
        <v>95</v>
      </c>
      <c r="E284" t="s">
        <v>1043</v>
      </c>
      <c r="F284" s="10">
        <v>1649.65</v>
      </c>
      <c r="G284">
        <f>Meter[[#This Row],[EstimatedLoss_RM]]/0.8</f>
        <v>2062.0625</v>
      </c>
      <c r="H284" t="str" cm="1">
        <f t="array" ref="H284">_xlfn.IFS(C284&lt;=5, "0–5 years", C284&lt;=10, "6–10 years", C284&lt;=15, "11–15 years", C284&lt;=20, "16–20 years", TRUE, "21–25 years")</f>
        <v>16–20 years</v>
      </c>
    </row>
    <row r="285" spans="1:8" x14ac:dyDescent="0.3">
      <c r="A285" t="s">
        <v>1085</v>
      </c>
      <c r="B285" t="s">
        <v>39</v>
      </c>
      <c r="C285">
        <v>7</v>
      </c>
      <c r="D285" s="2">
        <v>94.97</v>
      </c>
      <c r="E285" t="s">
        <v>1041</v>
      </c>
      <c r="F285" s="11">
        <v>1659.82</v>
      </c>
      <c r="G285">
        <f>Meter[[#This Row],[EstimatedLoss_RM]]/0.8</f>
        <v>2074.7749999999996</v>
      </c>
      <c r="H285" t="str" cm="1">
        <f t="array" ref="H285">_xlfn.IFS(C285&lt;=5, "0–5 years", C285&lt;=10, "6–10 years", C285&lt;=15, "11–15 years", C285&lt;=20, "16–20 years", TRUE, "21–25 years")</f>
        <v>6–10 years</v>
      </c>
    </row>
    <row r="286" spans="1:8" x14ac:dyDescent="0.3">
      <c r="A286" t="s">
        <v>1593</v>
      </c>
      <c r="B286" t="s">
        <v>52</v>
      </c>
      <c r="C286">
        <v>8</v>
      </c>
      <c r="D286" s="9">
        <v>94.97</v>
      </c>
      <c r="E286" t="s">
        <v>1043</v>
      </c>
      <c r="F286" s="10">
        <v>1674.74</v>
      </c>
      <c r="G286">
        <f>Meter[[#This Row],[EstimatedLoss_RM]]/0.8</f>
        <v>2093.4249999999997</v>
      </c>
      <c r="H286" t="str" cm="1">
        <f t="array" ref="H286">_xlfn.IFS(C286&lt;=5, "0–5 years", C286&lt;=10, "6–10 years", C286&lt;=15, "11–15 years", C286&lt;=20, "16–20 years", TRUE, "21–25 years")</f>
        <v>6–10 years</v>
      </c>
    </row>
    <row r="287" spans="1:8" x14ac:dyDescent="0.3">
      <c r="A287" t="s">
        <v>1521</v>
      </c>
      <c r="B287" t="s">
        <v>52</v>
      </c>
      <c r="C287">
        <v>23</v>
      </c>
      <c r="D287" s="2">
        <v>94.96</v>
      </c>
      <c r="E287" t="s">
        <v>1041</v>
      </c>
      <c r="F287" s="11">
        <v>1676.67</v>
      </c>
      <c r="G287">
        <f>Meter[[#This Row],[EstimatedLoss_RM]]/0.8</f>
        <v>2095.8375000000001</v>
      </c>
      <c r="H287" t="str" cm="1">
        <f t="array" ref="H287">_xlfn.IFS(C287&lt;=5, "0–5 years", C287&lt;=10, "6–10 years", C287&lt;=15, "11–15 years", C287&lt;=20, "16–20 years", TRUE, "21–25 years")</f>
        <v>21–25 years</v>
      </c>
    </row>
    <row r="288" spans="1:8" x14ac:dyDescent="0.3">
      <c r="A288" t="s">
        <v>1303</v>
      </c>
      <c r="B288" t="s">
        <v>45</v>
      </c>
      <c r="C288">
        <v>3</v>
      </c>
      <c r="D288" s="9">
        <v>94.95</v>
      </c>
      <c r="E288" t="s">
        <v>1041</v>
      </c>
      <c r="F288" s="10">
        <v>1679.21</v>
      </c>
      <c r="G288">
        <f>Meter[[#This Row],[EstimatedLoss_RM]]/0.8</f>
        <v>2099.0124999999998</v>
      </c>
      <c r="H288" t="str" cm="1">
        <f t="array" ref="H288">_xlfn.IFS(C288&lt;=5, "0–5 years", C288&lt;=10, "6–10 years", C288&lt;=15, "11–15 years", C288&lt;=20, "16–20 years", TRUE, "21–25 years")</f>
        <v>0–5 years</v>
      </c>
    </row>
    <row r="289" spans="1:8" x14ac:dyDescent="0.3">
      <c r="A289" t="s">
        <v>1819</v>
      </c>
      <c r="B289" t="s">
        <v>47</v>
      </c>
      <c r="C289">
        <v>4</v>
      </c>
      <c r="D289" s="2">
        <v>94.95</v>
      </c>
      <c r="E289" t="s">
        <v>1045</v>
      </c>
      <c r="F289" s="11">
        <v>1682.6</v>
      </c>
      <c r="G289">
        <f>Meter[[#This Row],[EstimatedLoss_RM]]/0.8</f>
        <v>2103.2499999999995</v>
      </c>
      <c r="H289" t="str" cm="1">
        <f t="array" ref="H289">_xlfn.IFS(C289&lt;=5, "0–5 years", C289&lt;=10, "6–10 years", C289&lt;=15, "11–15 years", C289&lt;=20, "16–20 years", TRUE, "21–25 years")</f>
        <v>0–5 years</v>
      </c>
    </row>
    <row r="290" spans="1:8" x14ac:dyDescent="0.3">
      <c r="A290" t="s">
        <v>1081</v>
      </c>
      <c r="B290" t="s">
        <v>52</v>
      </c>
      <c r="C290">
        <v>1</v>
      </c>
      <c r="D290" s="9">
        <v>94.94</v>
      </c>
      <c r="E290" t="s">
        <v>1045</v>
      </c>
      <c r="F290" s="10">
        <v>1694.08</v>
      </c>
      <c r="G290">
        <f>Meter[[#This Row],[EstimatedLoss_RM]]/0.8</f>
        <v>2117.6</v>
      </c>
      <c r="H290" t="str" cm="1">
        <f t="array" ref="H290">_xlfn.IFS(C290&lt;=5, "0–5 years", C290&lt;=10, "6–10 years", C290&lt;=15, "11–15 years", C290&lt;=20, "16–20 years", TRUE, "21–25 years")</f>
        <v>0–5 years</v>
      </c>
    </row>
    <row r="291" spans="1:8" x14ac:dyDescent="0.3">
      <c r="A291" t="s">
        <v>1241</v>
      </c>
      <c r="B291" t="s">
        <v>48</v>
      </c>
      <c r="C291">
        <v>8</v>
      </c>
      <c r="D291" s="2">
        <v>94.92</v>
      </c>
      <c r="E291" t="s">
        <v>1041</v>
      </c>
      <c r="F291" s="11">
        <v>1698.97</v>
      </c>
      <c r="G291">
        <f>Meter[[#This Row],[EstimatedLoss_RM]]/0.8</f>
        <v>2123.7125000000001</v>
      </c>
      <c r="H291" t="str" cm="1">
        <f t="array" ref="H291">_xlfn.IFS(C291&lt;=5, "0–5 years", C291&lt;=10, "6–10 years", C291&lt;=15, "11–15 years", C291&lt;=20, "16–20 years", TRUE, "21–25 years")</f>
        <v>6–10 years</v>
      </c>
    </row>
    <row r="292" spans="1:8" x14ac:dyDescent="0.3">
      <c r="A292" t="s">
        <v>1187</v>
      </c>
      <c r="B292" t="s">
        <v>46</v>
      </c>
      <c r="C292">
        <v>9</v>
      </c>
      <c r="D292" s="9">
        <v>94.92</v>
      </c>
      <c r="E292" t="s">
        <v>1041</v>
      </c>
      <c r="F292" s="10">
        <v>1704</v>
      </c>
      <c r="G292">
        <f>Meter[[#This Row],[EstimatedLoss_RM]]/0.8</f>
        <v>2130</v>
      </c>
      <c r="H292" t="str" cm="1">
        <f t="array" ref="H292">_xlfn.IFS(C292&lt;=5, "0–5 years", C292&lt;=10, "6–10 years", C292&lt;=15, "11–15 years", C292&lt;=20, "16–20 years", TRUE, "21–25 years")</f>
        <v>6–10 years</v>
      </c>
    </row>
    <row r="293" spans="1:8" x14ac:dyDescent="0.3">
      <c r="A293" t="s">
        <v>1830</v>
      </c>
      <c r="B293" t="s">
        <v>52</v>
      </c>
      <c r="C293">
        <v>10</v>
      </c>
      <c r="D293" s="2">
        <v>94.92</v>
      </c>
      <c r="E293" t="s">
        <v>1041</v>
      </c>
      <c r="F293" s="11">
        <v>1702.17</v>
      </c>
      <c r="G293">
        <f>Meter[[#This Row],[EstimatedLoss_RM]]/0.8</f>
        <v>2127.7125000000001</v>
      </c>
      <c r="H293" t="str" cm="1">
        <f t="array" ref="H293">_xlfn.IFS(C293&lt;=5, "0–5 years", C293&lt;=10, "6–10 years", C293&lt;=15, "11–15 years", C293&lt;=20, "16–20 years", TRUE, "21–25 years")</f>
        <v>6–10 years</v>
      </c>
    </row>
    <row r="294" spans="1:8" x14ac:dyDescent="0.3">
      <c r="A294" t="s">
        <v>1675</v>
      </c>
      <c r="B294" t="s">
        <v>49</v>
      </c>
      <c r="C294">
        <v>7</v>
      </c>
      <c r="D294" s="9">
        <v>94.88</v>
      </c>
      <c r="E294" t="s">
        <v>1043</v>
      </c>
      <c r="F294" s="10">
        <v>1713.07</v>
      </c>
      <c r="G294">
        <f>Meter[[#This Row],[EstimatedLoss_RM]]/0.8</f>
        <v>2141.3374999999996</v>
      </c>
      <c r="H294" t="str" cm="1">
        <f t="array" ref="H294">_xlfn.IFS(C294&lt;=5, "0–5 years", C294&lt;=10, "6–10 years", C294&lt;=15, "11–15 years", C294&lt;=20, "16–20 years", TRUE, "21–25 years")</f>
        <v>6–10 years</v>
      </c>
    </row>
    <row r="295" spans="1:8" x14ac:dyDescent="0.3">
      <c r="A295" t="s">
        <v>1586</v>
      </c>
      <c r="B295" t="s">
        <v>43</v>
      </c>
      <c r="C295">
        <v>15</v>
      </c>
      <c r="D295" s="2">
        <v>94.88</v>
      </c>
      <c r="E295" t="s">
        <v>1045</v>
      </c>
      <c r="F295" s="11">
        <v>1706.25</v>
      </c>
      <c r="G295">
        <f>Meter[[#This Row],[EstimatedLoss_RM]]/0.8</f>
        <v>2132.8125</v>
      </c>
      <c r="H295" t="str" cm="1">
        <f t="array" ref="H295">_xlfn.IFS(C295&lt;=5, "0–5 years", C295&lt;=10, "6–10 years", C295&lt;=15, "11–15 years", C295&lt;=20, "16–20 years", TRUE, "21–25 years")</f>
        <v>11–15 years</v>
      </c>
    </row>
    <row r="296" spans="1:8" x14ac:dyDescent="0.3">
      <c r="A296" t="s">
        <v>1382</v>
      </c>
      <c r="B296" t="s">
        <v>41</v>
      </c>
      <c r="C296">
        <v>5</v>
      </c>
      <c r="D296" s="9">
        <v>94.87</v>
      </c>
      <c r="E296" t="s">
        <v>1045</v>
      </c>
      <c r="F296" s="10">
        <v>1713.37</v>
      </c>
      <c r="G296">
        <f>Meter[[#This Row],[EstimatedLoss_RM]]/0.8</f>
        <v>2141.7124999999996</v>
      </c>
      <c r="H296" t="str" cm="1">
        <f t="array" ref="H296">_xlfn.IFS(C296&lt;=5, "0–5 years", C296&lt;=10, "6–10 years", C296&lt;=15, "11–15 years", C296&lt;=20, "16–20 years", TRUE, "21–25 years")</f>
        <v>0–5 years</v>
      </c>
    </row>
    <row r="297" spans="1:8" x14ac:dyDescent="0.3">
      <c r="A297" t="s">
        <v>1436</v>
      </c>
      <c r="B297" t="s">
        <v>48</v>
      </c>
      <c r="C297">
        <v>17</v>
      </c>
      <c r="D297" s="2">
        <v>94.86</v>
      </c>
      <c r="E297" t="s">
        <v>1045</v>
      </c>
      <c r="F297" s="11">
        <v>1715.23</v>
      </c>
      <c r="G297">
        <f>Meter[[#This Row],[EstimatedLoss_RM]]/0.8</f>
        <v>2144.0374999999999</v>
      </c>
      <c r="H297" t="str" cm="1">
        <f t="array" ref="H297">_xlfn.IFS(C297&lt;=5, "0–5 years", C297&lt;=10, "6–10 years", C297&lt;=15, "11–15 years", C297&lt;=20, "16–20 years", TRUE, "21–25 years")</f>
        <v>16–20 years</v>
      </c>
    </row>
    <row r="298" spans="1:8" x14ac:dyDescent="0.3">
      <c r="A298" t="s">
        <v>1412</v>
      </c>
      <c r="B298" t="s">
        <v>52</v>
      </c>
      <c r="C298">
        <v>4</v>
      </c>
      <c r="D298" s="9">
        <v>94.85</v>
      </c>
      <c r="E298" t="s">
        <v>1045</v>
      </c>
      <c r="F298" s="10">
        <v>1730.14</v>
      </c>
      <c r="G298">
        <f>Meter[[#This Row],[EstimatedLoss_RM]]/0.8</f>
        <v>2162.6750000000002</v>
      </c>
      <c r="H298" t="str" cm="1">
        <f t="array" ref="H298">_xlfn.IFS(C298&lt;=5, "0–5 years", C298&lt;=10, "6–10 years", C298&lt;=15, "11–15 years", C298&lt;=20, "16–20 years", TRUE, "21–25 years")</f>
        <v>0–5 years</v>
      </c>
    </row>
    <row r="299" spans="1:8" x14ac:dyDescent="0.3">
      <c r="A299" t="s">
        <v>1580</v>
      </c>
      <c r="B299" t="s">
        <v>45</v>
      </c>
      <c r="C299">
        <v>6</v>
      </c>
      <c r="D299" s="2">
        <v>94.83</v>
      </c>
      <c r="E299" t="s">
        <v>1041</v>
      </c>
      <c r="F299" s="11">
        <v>1735.5</v>
      </c>
      <c r="G299">
        <f>Meter[[#This Row],[EstimatedLoss_RM]]/0.8</f>
        <v>2169.375</v>
      </c>
      <c r="H299" t="str" cm="1">
        <f t="array" ref="H299">_xlfn.IFS(C299&lt;=5, "0–5 years", C299&lt;=10, "6–10 years", C299&lt;=15, "11–15 years", C299&lt;=20, "16–20 years", TRUE, "21–25 years")</f>
        <v>6–10 years</v>
      </c>
    </row>
    <row r="300" spans="1:8" x14ac:dyDescent="0.3">
      <c r="A300" t="s">
        <v>1498</v>
      </c>
      <c r="B300" t="s">
        <v>50</v>
      </c>
      <c r="C300">
        <v>4</v>
      </c>
      <c r="D300" s="9">
        <v>94.81</v>
      </c>
      <c r="E300" t="s">
        <v>1041</v>
      </c>
      <c r="F300" s="10">
        <v>1745.74</v>
      </c>
      <c r="G300">
        <f>Meter[[#This Row],[EstimatedLoss_RM]]/0.8</f>
        <v>2182.1749999999997</v>
      </c>
      <c r="H300" t="str" cm="1">
        <f t="array" ref="H300">_xlfn.IFS(C300&lt;=5, "0–5 years", C300&lt;=10, "6–10 years", C300&lt;=15, "11–15 years", C300&lt;=20, "16–20 years", TRUE, "21–25 years")</f>
        <v>0–5 years</v>
      </c>
    </row>
    <row r="301" spans="1:8" x14ac:dyDescent="0.3">
      <c r="A301" t="s">
        <v>1073</v>
      </c>
      <c r="B301" t="s">
        <v>52</v>
      </c>
      <c r="C301">
        <v>5</v>
      </c>
      <c r="D301" s="2">
        <v>94.8</v>
      </c>
      <c r="E301" t="s">
        <v>1043</v>
      </c>
      <c r="F301" s="11">
        <v>1748.1</v>
      </c>
      <c r="G301">
        <f>Meter[[#This Row],[EstimatedLoss_RM]]/0.8</f>
        <v>2185.1249999999995</v>
      </c>
      <c r="H301" t="str" cm="1">
        <f t="array" ref="H301">_xlfn.IFS(C301&lt;=5, "0–5 years", C301&lt;=10, "6–10 years", C301&lt;=15, "11–15 years", C301&lt;=20, "16–20 years", TRUE, "21–25 years")</f>
        <v>0–5 years</v>
      </c>
    </row>
    <row r="302" spans="1:8" x14ac:dyDescent="0.3">
      <c r="A302" t="s">
        <v>1062</v>
      </c>
      <c r="B302" t="s">
        <v>47</v>
      </c>
      <c r="C302">
        <v>1</v>
      </c>
      <c r="D302" s="9">
        <v>94.78</v>
      </c>
      <c r="E302" t="s">
        <v>1041</v>
      </c>
      <c r="F302" s="10">
        <v>1751.18</v>
      </c>
      <c r="G302">
        <f>Meter[[#This Row],[EstimatedLoss_RM]]/0.8</f>
        <v>2188.9749999999999</v>
      </c>
      <c r="H302" t="str" cm="1">
        <f t="array" ref="H302">_xlfn.IFS(C302&lt;=5, "0–5 years", C302&lt;=10, "6–10 years", C302&lt;=15, "11–15 years", C302&lt;=20, "16–20 years", TRUE, "21–25 years")</f>
        <v>0–5 years</v>
      </c>
    </row>
    <row r="303" spans="1:8" x14ac:dyDescent="0.3">
      <c r="A303" t="s">
        <v>1483</v>
      </c>
      <c r="B303" t="s">
        <v>41</v>
      </c>
      <c r="C303">
        <v>10</v>
      </c>
      <c r="D303" s="2">
        <v>94.77</v>
      </c>
      <c r="E303" t="s">
        <v>1045</v>
      </c>
      <c r="F303" s="11">
        <v>1767.72</v>
      </c>
      <c r="G303">
        <f>Meter[[#This Row],[EstimatedLoss_RM]]/0.8</f>
        <v>2209.65</v>
      </c>
      <c r="H303" t="str" cm="1">
        <f t="array" ref="H303">_xlfn.IFS(C303&lt;=5, "0–5 years", C303&lt;=10, "6–10 years", C303&lt;=15, "11–15 years", C303&lt;=20, "16–20 years", TRUE, "21–25 years")</f>
        <v>6–10 years</v>
      </c>
    </row>
    <row r="304" spans="1:8" x14ac:dyDescent="0.3">
      <c r="A304" t="s">
        <v>1871</v>
      </c>
      <c r="B304" t="s">
        <v>47</v>
      </c>
      <c r="C304">
        <v>6</v>
      </c>
      <c r="D304" s="9">
        <v>94.76</v>
      </c>
      <c r="E304" t="s">
        <v>1045</v>
      </c>
      <c r="F304" s="10">
        <v>1769.08</v>
      </c>
      <c r="G304">
        <f>Meter[[#This Row],[EstimatedLoss_RM]]/0.8</f>
        <v>2211.35</v>
      </c>
      <c r="H304" t="str" cm="1">
        <f t="array" ref="H304">_xlfn.IFS(C304&lt;=5, "0–5 years", C304&lt;=10, "6–10 years", C304&lt;=15, "11–15 years", C304&lt;=20, "16–20 years", TRUE, "21–25 years")</f>
        <v>6–10 years</v>
      </c>
    </row>
    <row r="305" spans="1:8" x14ac:dyDescent="0.3">
      <c r="A305" t="s">
        <v>1591</v>
      </c>
      <c r="B305" t="s">
        <v>47</v>
      </c>
      <c r="C305">
        <v>10</v>
      </c>
      <c r="D305" s="2">
        <v>94.74</v>
      </c>
      <c r="E305" t="s">
        <v>1043</v>
      </c>
      <c r="F305" s="11">
        <v>1769.33</v>
      </c>
      <c r="G305">
        <f>Meter[[#This Row],[EstimatedLoss_RM]]/0.8</f>
        <v>2211.6624999999999</v>
      </c>
      <c r="H305" t="str" cm="1">
        <f t="array" ref="H305">_xlfn.IFS(C305&lt;=5, "0–5 years", C305&lt;=10, "6–10 years", C305&lt;=15, "11–15 years", C305&lt;=20, "16–20 years", TRUE, "21–25 years")</f>
        <v>6–10 years</v>
      </c>
    </row>
    <row r="306" spans="1:8" x14ac:dyDescent="0.3">
      <c r="A306" t="s">
        <v>1847</v>
      </c>
      <c r="B306" t="s">
        <v>40</v>
      </c>
      <c r="C306">
        <v>6</v>
      </c>
      <c r="D306" s="9">
        <v>94.73</v>
      </c>
      <c r="E306" t="s">
        <v>1041</v>
      </c>
      <c r="F306" s="10">
        <v>1775.08</v>
      </c>
      <c r="G306">
        <f>Meter[[#This Row],[EstimatedLoss_RM]]/0.8</f>
        <v>2218.85</v>
      </c>
      <c r="H306" t="str" cm="1">
        <f t="array" ref="H306">_xlfn.IFS(C306&lt;=5, "0–5 years", C306&lt;=10, "6–10 years", C306&lt;=15, "11–15 years", C306&lt;=20, "16–20 years", TRUE, "21–25 years")</f>
        <v>6–10 years</v>
      </c>
    </row>
    <row r="307" spans="1:8" x14ac:dyDescent="0.3">
      <c r="A307" t="s">
        <v>1489</v>
      </c>
      <c r="B307" t="s">
        <v>49</v>
      </c>
      <c r="C307">
        <v>10</v>
      </c>
      <c r="D307" s="2">
        <v>94.73</v>
      </c>
      <c r="E307" t="s">
        <v>1045</v>
      </c>
      <c r="F307" s="11">
        <v>1772.67</v>
      </c>
      <c r="G307">
        <f>Meter[[#This Row],[EstimatedLoss_RM]]/0.8</f>
        <v>2215.8375000000001</v>
      </c>
      <c r="H307" t="str" cm="1">
        <f t="array" ref="H307">_xlfn.IFS(C307&lt;=5, "0–5 years", C307&lt;=10, "6–10 years", C307&lt;=15, "11–15 years", C307&lt;=20, "16–20 years", TRUE, "21–25 years")</f>
        <v>6–10 years</v>
      </c>
    </row>
    <row r="308" spans="1:8" x14ac:dyDescent="0.3">
      <c r="A308" t="s">
        <v>1555</v>
      </c>
      <c r="B308" t="s">
        <v>41</v>
      </c>
      <c r="C308">
        <v>7</v>
      </c>
      <c r="D308" s="9">
        <v>94.72</v>
      </c>
      <c r="E308" t="s">
        <v>1043</v>
      </c>
      <c r="F308" s="10">
        <v>1775.97</v>
      </c>
      <c r="G308">
        <f>Meter[[#This Row],[EstimatedLoss_RM]]/0.8</f>
        <v>2219.9625000000001</v>
      </c>
      <c r="H308" t="str" cm="1">
        <f t="array" ref="H308">_xlfn.IFS(C308&lt;=5, "0–5 years", C308&lt;=10, "6–10 years", C308&lt;=15, "11–15 years", C308&lt;=20, "16–20 years", TRUE, "21–25 years")</f>
        <v>6–10 years</v>
      </c>
    </row>
    <row r="309" spans="1:8" x14ac:dyDescent="0.3">
      <c r="A309" t="s">
        <v>1447</v>
      </c>
      <c r="B309" t="s">
        <v>39</v>
      </c>
      <c r="C309">
        <v>6</v>
      </c>
      <c r="D309" s="2">
        <v>94.7</v>
      </c>
      <c r="E309" t="s">
        <v>1043</v>
      </c>
      <c r="F309" s="11">
        <v>1793.25</v>
      </c>
      <c r="G309">
        <f>Meter[[#This Row],[EstimatedLoss_RM]]/0.8</f>
        <v>2241.5625</v>
      </c>
      <c r="H309" t="str" cm="1">
        <f t="array" ref="H309">_xlfn.IFS(C309&lt;=5, "0–5 years", C309&lt;=10, "6–10 years", C309&lt;=15, "11–15 years", C309&lt;=20, "16–20 years", TRUE, "21–25 years")</f>
        <v>6–10 years</v>
      </c>
    </row>
    <row r="310" spans="1:8" x14ac:dyDescent="0.3">
      <c r="A310" t="s">
        <v>1428</v>
      </c>
      <c r="B310" t="s">
        <v>52</v>
      </c>
      <c r="C310">
        <v>9</v>
      </c>
      <c r="D310" s="9">
        <v>94.7</v>
      </c>
      <c r="E310" t="s">
        <v>1045</v>
      </c>
      <c r="F310" s="10">
        <v>1777.56</v>
      </c>
      <c r="G310">
        <f>Meter[[#This Row],[EstimatedLoss_RM]]/0.8</f>
        <v>2221.9499999999998</v>
      </c>
      <c r="H310" t="str" cm="1">
        <f t="array" ref="H310">_xlfn.IFS(C310&lt;=5, "0–5 years", C310&lt;=10, "6–10 years", C310&lt;=15, "11–15 years", C310&lt;=20, "16–20 years", TRUE, "21–25 years")</f>
        <v>6–10 years</v>
      </c>
    </row>
    <row r="311" spans="1:8" x14ac:dyDescent="0.3">
      <c r="A311" t="s">
        <v>1327</v>
      </c>
      <c r="B311" t="s">
        <v>53</v>
      </c>
      <c r="C311">
        <v>19</v>
      </c>
      <c r="D311" s="2">
        <v>94.67</v>
      </c>
      <c r="E311" t="s">
        <v>1043</v>
      </c>
      <c r="F311" s="11">
        <v>1807.98</v>
      </c>
      <c r="G311">
        <f>Meter[[#This Row],[EstimatedLoss_RM]]/0.8</f>
        <v>2259.9749999999999</v>
      </c>
      <c r="H311" t="str" cm="1">
        <f t="array" ref="H311">_xlfn.IFS(C311&lt;=5, "0–5 years", C311&lt;=10, "6–10 years", C311&lt;=15, "11–15 years", C311&lt;=20, "16–20 years", TRUE, "21–25 years")</f>
        <v>16–20 years</v>
      </c>
    </row>
    <row r="312" spans="1:8" x14ac:dyDescent="0.3">
      <c r="A312" t="s">
        <v>1520</v>
      </c>
      <c r="B312" t="s">
        <v>44</v>
      </c>
      <c r="C312">
        <v>10</v>
      </c>
      <c r="D312" s="9">
        <v>94.62</v>
      </c>
      <c r="E312" t="s">
        <v>1045</v>
      </c>
      <c r="F312" s="10">
        <v>1821.48</v>
      </c>
      <c r="G312">
        <f>Meter[[#This Row],[EstimatedLoss_RM]]/0.8</f>
        <v>2276.85</v>
      </c>
      <c r="H312" t="str" cm="1">
        <f t="array" ref="H312">_xlfn.IFS(C312&lt;=5, "0–5 years", C312&lt;=10, "6–10 years", C312&lt;=15, "11–15 years", C312&lt;=20, "16–20 years", TRUE, "21–25 years")</f>
        <v>6–10 years</v>
      </c>
    </row>
    <row r="313" spans="1:8" x14ac:dyDescent="0.3">
      <c r="A313" t="s">
        <v>1802</v>
      </c>
      <c r="B313" t="s">
        <v>43</v>
      </c>
      <c r="C313">
        <v>12</v>
      </c>
      <c r="D313" s="2">
        <v>94.6</v>
      </c>
      <c r="E313" t="s">
        <v>1045</v>
      </c>
      <c r="F313" s="11">
        <v>1836.89</v>
      </c>
      <c r="G313">
        <f>Meter[[#This Row],[EstimatedLoss_RM]]/0.8</f>
        <v>2296.1125000000002</v>
      </c>
      <c r="H313" t="str" cm="1">
        <f t="array" ref="H313">_xlfn.IFS(C313&lt;=5, "0–5 years", C313&lt;=10, "6–10 years", C313&lt;=15, "11–15 years", C313&lt;=20, "16–20 years", TRUE, "21–25 years")</f>
        <v>11–15 years</v>
      </c>
    </row>
    <row r="314" spans="1:8" x14ac:dyDescent="0.3">
      <c r="A314" t="s">
        <v>1799</v>
      </c>
      <c r="B314" t="s">
        <v>46</v>
      </c>
      <c r="C314">
        <v>11</v>
      </c>
      <c r="D314" s="9">
        <v>94.59</v>
      </c>
      <c r="E314" t="s">
        <v>1043</v>
      </c>
      <c r="F314" s="10">
        <v>1837.81</v>
      </c>
      <c r="G314">
        <f>Meter[[#This Row],[EstimatedLoss_RM]]/0.8</f>
        <v>2297.2624999999998</v>
      </c>
      <c r="H314" t="str" cm="1">
        <f t="array" ref="H314">_xlfn.IFS(C314&lt;=5, "0–5 years", C314&lt;=10, "6–10 years", C314&lt;=15, "11–15 years", C314&lt;=20, "16–20 years", TRUE, "21–25 years")</f>
        <v>11–15 years</v>
      </c>
    </row>
    <row r="315" spans="1:8" x14ac:dyDescent="0.3">
      <c r="A315" t="s">
        <v>1652</v>
      </c>
      <c r="B315" t="s">
        <v>42</v>
      </c>
      <c r="C315">
        <v>16</v>
      </c>
      <c r="D315" s="2">
        <v>94.59</v>
      </c>
      <c r="E315" t="s">
        <v>1045</v>
      </c>
      <c r="F315" s="11">
        <v>1837.39</v>
      </c>
      <c r="G315">
        <f>Meter[[#This Row],[EstimatedLoss_RM]]/0.8</f>
        <v>2296.7375000000002</v>
      </c>
      <c r="H315" t="str" cm="1">
        <f t="array" ref="H315">_xlfn.IFS(C315&lt;=5, "0–5 years", C315&lt;=10, "6–10 years", C315&lt;=15, "11–15 years", C315&lt;=20, "16–20 years", TRUE, "21–25 years")</f>
        <v>16–20 years</v>
      </c>
    </row>
    <row r="316" spans="1:8" x14ac:dyDescent="0.3">
      <c r="A316" t="s">
        <v>1065</v>
      </c>
      <c r="B316" t="s">
        <v>50</v>
      </c>
      <c r="C316">
        <v>9</v>
      </c>
      <c r="D316" s="9">
        <v>94.54</v>
      </c>
      <c r="E316" t="s">
        <v>1043</v>
      </c>
      <c r="F316" s="10">
        <v>1843.76</v>
      </c>
      <c r="G316">
        <f>Meter[[#This Row],[EstimatedLoss_RM]]/0.8</f>
        <v>2304.6999999999998</v>
      </c>
      <c r="H316" t="str" cm="1">
        <f t="array" ref="H316">_xlfn.IFS(C316&lt;=5, "0–5 years", C316&lt;=10, "6–10 years", C316&lt;=15, "11–15 years", C316&lt;=20, "16–20 years", TRUE, "21–25 years")</f>
        <v>6–10 years</v>
      </c>
    </row>
    <row r="317" spans="1:8" x14ac:dyDescent="0.3">
      <c r="A317" t="s">
        <v>1664</v>
      </c>
      <c r="B317" t="s">
        <v>53</v>
      </c>
      <c r="C317">
        <v>11</v>
      </c>
      <c r="D317" s="2">
        <v>94.54</v>
      </c>
      <c r="E317" t="s">
        <v>1043</v>
      </c>
      <c r="F317" s="11">
        <v>1851.55</v>
      </c>
      <c r="G317">
        <f>Meter[[#This Row],[EstimatedLoss_RM]]/0.8</f>
        <v>2314.4375</v>
      </c>
      <c r="H317" t="str" cm="1">
        <f t="array" ref="H317">_xlfn.IFS(C317&lt;=5, "0–5 years", C317&lt;=10, "6–10 years", C317&lt;=15, "11–15 years", C317&lt;=20, "16–20 years", TRUE, "21–25 years")</f>
        <v>11–15 years</v>
      </c>
    </row>
    <row r="318" spans="1:8" x14ac:dyDescent="0.3">
      <c r="A318" t="s">
        <v>1269</v>
      </c>
      <c r="B318" t="s">
        <v>52</v>
      </c>
      <c r="C318">
        <v>9</v>
      </c>
      <c r="D318" s="9">
        <v>94.53</v>
      </c>
      <c r="E318" t="s">
        <v>1045</v>
      </c>
      <c r="F318" s="10">
        <v>1857.27</v>
      </c>
      <c r="G318">
        <f>Meter[[#This Row],[EstimatedLoss_RM]]/0.8</f>
        <v>2321.5874999999996</v>
      </c>
      <c r="H318" t="str" cm="1">
        <f t="array" ref="H318">_xlfn.IFS(C318&lt;=5, "0–5 years", C318&lt;=10, "6–10 years", C318&lt;=15, "11–15 years", C318&lt;=20, "16–20 years", TRUE, "21–25 years")</f>
        <v>6–10 years</v>
      </c>
    </row>
    <row r="319" spans="1:8" x14ac:dyDescent="0.3">
      <c r="A319" t="s">
        <v>1781</v>
      </c>
      <c r="B319" t="s">
        <v>49</v>
      </c>
      <c r="C319">
        <v>17</v>
      </c>
      <c r="D319" s="2">
        <v>94.53</v>
      </c>
      <c r="E319" t="s">
        <v>1041</v>
      </c>
      <c r="F319" s="11">
        <v>1862.37</v>
      </c>
      <c r="G319">
        <f>Meter[[#This Row],[EstimatedLoss_RM]]/0.8</f>
        <v>2327.9624999999996</v>
      </c>
      <c r="H319" t="str" cm="1">
        <f t="array" ref="H319">_xlfn.IFS(C319&lt;=5, "0–5 years", C319&lt;=10, "6–10 years", C319&lt;=15, "11–15 years", C319&lt;=20, "16–20 years", TRUE, "21–25 years")</f>
        <v>16–20 years</v>
      </c>
    </row>
    <row r="320" spans="1:8" x14ac:dyDescent="0.3">
      <c r="A320" t="s">
        <v>1873</v>
      </c>
      <c r="B320" t="s">
        <v>44</v>
      </c>
      <c r="C320">
        <v>2</v>
      </c>
      <c r="D320" s="9">
        <v>94.51</v>
      </c>
      <c r="E320" t="s">
        <v>1043</v>
      </c>
      <c r="F320" s="10">
        <v>1868.22</v>
      </c>
      <c r="G320">
        <f>Meter[[#This Row],[EstimatedLoss_RM]]/0.8</f>
        <v>2335.2750000000001</v>
      </c>
      <c r="H320" t="str" cm="1">
        <f t="array" ref="H320">_xlfn.IFS(C320&lt;=5, "0–5 years", C320&lt;=10, "6–10 years", C320&lt;=15, "11–15 years", C320&lt;=20, "16–20 years", TRUE, "21–25 years")</f>
        <v>0–5 years</v>
      </c>
    </row>
    <row r="321" spans="1:8" x14ac:dyDescent="0.3">
      <c r="A321" t="s">
        <v>1779</v>
      </c>
      <c r="B321" t="s">
        <v>42</v>
      </c>
      <c r="C321">
        <v>10</v>
      </c>
      <c r="D321" s="2">
        <v>94.51</v>
      </c>
      <c r="E321" t="s">
        <v>1041</v>
      </c>
      <c r="F321" s="11">
        <v>1878.9</v>
      </c>
      <c r="G321">
        <f>Meter[[#This Row],[EstimatedLoss_RM]]/0.8</f>
        <v>2348.625</v>
      </c>
      <c r="H321" t="str" cm="1">
        <f t="array" ref="H321">_xlfn.IFS(C321&lt;=5, "0–5 years", C321&lt;=10, "6–10 years", C321&lt;=15, "11–15 years", C321&lt;=20, "16–20 years", TRUE, "21–25 years")</f>
        <v>6–10 years</v>
      </c>
    </row>
    <row r="322" spans="1:8" x14ac:dyDescent="0.3">
      <c r="A322" t="s">
        <v>1890</v>
      </c>
      <c r="B322" t="s">
        <v>49</v>
      </c>
      <c r="C322">
        <v>21</v>
      </c>
      <c r="D322" s="9">
        <v>94.51</v>
      </c>
      <c r="E322" t="s">
        <v>1045</v>
      </c>
      <c r="F322" s="10">
        <v>1883.43</v>
      </c>
      <c r="G322">
        <f>Meter[[#This Row],[EstimatedLoss_RM]]/0.8</f>
        <v>2354.2874999999999</v>
      </c>
      <c r="H322" t="str" cm="1">
        <f t="array" ref="H322">_xlfn.IFS(C322&lt;=5, "0–5 years", C322&lt;=10, "6–10 years", C322&lt;=15, "11–15 years", C322&lt;=20, "16–20 years", TRUE, "21–25 years")</f>
        <v>21–25 years</v>
      </c>
    </row>
    <row r="323" spans="1:8" x14ac:dyDescent="0.3">
      <c r="A323" t="s">
        <v>1396</v>
      </c>
      <c r="B323" t="s">
        <v>41</v>
      </c>
      <c r="C323">
        <v>8</v>
      </c>
      <c r="D323" s="2">
        <v>94.48</v>
      </c>
      <c r="E323" t="s">
        <v>1041</v>
      </c>
      <c r="F323" s="11">
        <v>1883.88</v>
      </c>
      <c r="G323">
        <f>Meter[[#This Row],[EstimatedLoss_RM]]/0.8</f>
        <v>2354.85</v>
      </c>
      <c r="H323" t="str" cm="1">
        <f t="array" ref="H323">_xlfn.IFS(C323&lt;=5, "0–5 years", C323&lt;=10, "6–10 years", C323&lt;=15, "11–15 years", C323&lt;=20, "16–20 years", TRUE, "21–25 years")</f>
        <v>6–10 years</v>
      </c>
    </row>
    <row r="324" spans="1:8" x14ac:dyDescent="0.3">
      <c r="A324" t="s">
        <v>1829</v>
      </c>
      <c r="B324" t="s">
        <v>47</v>
      </c>
      <c r="C324">
        <v>13</v>
      </c>
      <c r="D324" s="9">
        <v>94.47</v>
      </c>
      <c r="E324" t="s">
        <v>1041</v>
      </c>
      <c r="F324" s="10">
        <v>1887.81</v>
      </c>
      <c r="G324">
        <f>Meter[[#This Row],[EstimatedLoss_RM]]/0.8</f>
        <v>2359.7624999999998</v>
      </c>
      <c r="H324" t="str" cm="1">
        <f t="array" ref="H324">_xlfn.IFS(C324&lt;=5, "0–5 years", C324&lt;=10, "6–10 years", C324&lt;=15, "11–15 years", C324&lt;=20, "16–20 years", TRUE, "21–25 years")</f>
        <v>11–15 years</v>
      </c>
    </row>
    <row r="325" spans="1:8" x14ac:dyDescent="0.3">
      <c r="A325" t="s">
        <v>1772</v>
      </c>
      <c r="B325" t="s">
        <v>53</v>
      </c>
      <c r="C325">
        <v>5</v>
      </c>
      <c r="D325" s="2">
        <v>94.44</v>
      </c>
      <c r="E325" t="s">
        <v>1045</v>
      </c>
      <c r="F325" s="11">
        <v>1895.7</v>
      </c>
      <c r="G325">
        <f>Meter[[#This Row],[EstimatedLoss_RM]]/0.8</f>
        <v>2369.625</v>
      </c>
      <c r="H325" t="str" cm="1">
        <f t="array" ref="H325">_xlfn.IFS(C325&lt;=5, "0–5 years", C325&lt;=10, "6–10 years", C325&lt;=15, "11–15 years", C325&lt;=20, "16–20 years", TRUE, "21–25 years")</f>
        <v>0–5 years</v>
      </c>
    </row>
    <row r="326" spans="1:8" x14ac:dyDescent="0.3">
      <c r="A326" t="s">
        <v>1319</v>
      </c>
      <c r="B326" t="s">
        <v>48</v>
      </c>
      <c r="C326">
        <v>10</v>
      </c>
      <c r="D326" s="9">
        <v>94.4</v>
      </c>
      <c r="E326" t="s">
        <v>1045</v>
      </c>
      <c r="F326" s="10">
        <v>1905.81</v>
      </c>
      <c r="G326">
        <f>Meter[[#This Row],[EstimatedLoss_RM]]/0.8</f>
        <v>2382.2624999999998</v>
      </c>
      <c r="H326" t="str" cm="1">
        <f t="array" ref="H326">_xlfn.IFS(C326&lt;=5, "0–5 years", C326&lt;=10, "6–10 years", C326&lt;=15, "11–15 years", C326&lt;=20, "16–20 years", TRUE, "21–25 years")</f>
        <v>6–10 years</v>
      </c>
    </row>
    <row r="327" spans="1:8" x14ac:dyDescent="0.3">
      <c r="A327" t="s">
        <v>1127</v>
      </c>
      <c r="B327" t="s">
        <v>49</v>
      </c>
      <c r="C327">
        <v>5</v>
      </c>
      <c r="D327" s="2">
        <v>94.38</v>
      </c>
      <c r="E327" t="s">
        <v>1041</v>
      </c>
      <c r="F327" s="11">
        <v>1908.44</v>
      </c>
      <c r="G327">
        <f>Meter[[#This Row],[EstimatedLoss_RM]]/0.8</f>
        <v>2385.5499999999997</v>
      </c>
      <c r="H327" t="str" cm="1">
        <f t="array" ref="H327">_xlfn.IFS(C327&lt;=5, "0–5 years", C327&lt;=10, "6–10 years", C327&lt;=15, "11–15 years", C327&lt;=20, "16–20 years", TRUE, "21–25 years")</f>
        <v>0–5 years</v>
      </c>
    </row>
    <row r="328" spans="1:8" x14ac:dyDescent="0.3">
      <c r="A328" t="s">
        <v>1931</v>
      </c>
      <c r="B328" t="s">
        <v>38</v>
      </c>
      <c r="C328">
        <v>12</v>
      </c>
      <c r="D328" s="9">
        <v>94.38</v>
      </c>
      <c r="E328" t="s">
        <v>1045</v>
      </c>
      <c r="F328" s="10">
        <v>1907.62</v>
      </c>
      <c r="G328">
        <f>Meter[[#This Row],[EstimatedLoss_RM]]/0.8</f>
        <v>2384.5249999999996</v>
      </c>
      <c r="H328" t="str" cm="1">
        <f t="array" ref="H328">_xlfn.IFS(C328&lt;=5, "0–5 years", C328&lt;=10, "6–10 years", C328&lt;=15, "11–15 years", C328&lt;=20, "16–20 years", TRUE, "21–25 years")</f>
        <v>11–15 years</v>
      </c>
    </row>
    <row r="329" spans="1:8" x14ac:dyDescent="0.3">
      <c r="A329" t="s">
        <v>1907</v>
      </c>
      <c r="B329" t="s">
        <v>40</v>
      </c>
      <c r="C329">
        <v>6</v>
      </c>
      <c r="D329" s="2">
        <v>94.37</v>
      </c>
      <c r="E329" t="s">
        <v>1043</v>
      </c>
      <c r="F329" s="11">
        <v>1956.87</v>
      </c>
      <c r="G329">
        <f>Meter[[#This Row],[EstimatedLoss_RM]]/0.8</f>
        <v>2446.0874999999996</v>
      </c>
      <c r="H329" t="str" cm="1">
        <f t="array" ref="H329">_xlfn.IFS(C329&lt;=5, "0–5 years", C329&lt;=10, "6–10 years", C329&lt;=15, "11–15 years", C329&lt;=20, "16–20 years", TRUE, "21–25 years")</f>
        <v>6–10 years</v>
      </c>
    </row>
    <row r="330" spans="1:8" x14ac:dyDescent="0.3">
      <c r="A330" t="s">
        <v>1921</v>
      </c>
      <c r="B330" t="s">
        <v>52</v>
      </c>
      <c r="C330">
        <v>9</v>
      </c>
      <c r="D330" s="9">
        <v>94.37</v>
      </c>
      <c r="E330" t="s">
        <v>1045</v>
      </c>
      <c r="F330" s="10">
        <v>1953.12</v>
      </c>
      <c r="G330">
        <f>Meter[[#This Row],[EstimatedLoss_RM]]/0.8</f>
        <v>2441.3999999999996</v>
      </c>
      <c r="H330" t="str" cm="1">
        <f t="array" ref="H330">_xlfn.IFS(C330&lt;=5, "0–5 years", C330&lt;=10, "6–10 years", C330&lt;=15, "11–15 years", C330&lt;=20, "16–20 years", TRUE, "21–25 years")</f>
        <v>6–10 years</v>
      </c>
    </row>
    <row r="331" spans="1:8" x14ac:dyDescent="0.3">
      <c r="A331" t="s">
        <v>1789</v>
      </c>
      <c r="B331" t="s">
        <v>46</v>
      </c>
      <c r="C331">
        <v>10</v>
      </c>
      <c r="D331" s="2">
        <v>94.37</v>
      </c>
      <c r="E331" t="s">
        <v>1041</v>
      </c>
      <c r="F331" s="11">
        <v>1934.43</v>
      </c>
      <c r="G331">
        <f>Meter[[#This Row],[EstimatedLoss_RM]]/0.8</f>
        <v>2418.0374999999999</v>
      </c>
      <c r="H331" t="str" cm="1">
        <f t="array" ref="H331">_xlfn.IFS(C331&lt;=5, "0–5 years", C331&lt;=10, "6–10 years", C331&lt;=15, "11–15 years", C331&lt;=20, "16–20 years", TRUE, "21–25 years")</f>
        <v>6–10 years</v>
      </c>
    </row>
    <row r="332" spans="1:8" x14ac:dyDescent="0.3">
      <c r="A332" t="s">
        <v>1800</v>
      </c>
      <c r="B332" t="s">
        <v>44</v>
      </c>
      <c r="C332">
        <v>10</v>
      </c>
      <c r="D332" s="9">
        <v>94.37</v>
      </c>
      <c r="E332" t="s">
        <v>1043</v>
      </c>
      <c r="F332" s="10">
        <v>1935.84</v>
      </c>
      <c r="G332">
        <f>Meter[[#This Row],[EstimatedLoss_RM]]/0.8</f>
        <v>2419.7999999999997</v>
      </c>
      <c r="H332" t="str" cm="1">
        <f t="array" ref="H332">_xlfn.IFS(C332&lt;=5, "0–5 years", C332&lt;=10, "6–10 years", C332&lt;=15, "11–15 years", C332&lt;=20, "16–20 years", TRUE, "21–25 years")</f>
        <v>6–10 years</v>
      </c>
    </row>
    <row r="333" spans="1:8" x14ac:dyDescent="0.3">
      <c r="A333" t="s">
        <v>1627</v>
      </c>
      <c r="B333" t="s">
        <v>38</v>
      </c>
      <c r="C333">
        <v>10</v>
      </c>
      <c r="D333" s="2">
        <v>94.36</v>
      </c>
      <c r="E333" t="s">
        <v>1045</v>
      </c>
      <c r="F333" s="11">
        <v>1958.12</v>
      </c>
      <c r="G333">
        <f>Meter[[#This Row],[EstimatedLoss_RM]]/0.8</f>
        <v>2447.6499999999996</v>
      </c>
      <c r="H333" t="str" cm="1">
        <f t="array" ref="H333">_xlfn.IFS(C333&lt;=5, "0–5 years", C333&lt;=10, "6–10 years", C333&lt;=15, "11–15 years", C333&lt;=20, "16–20 years", TRUE, "21–25 years")</f>
        <v>6–10 years</v>
      </c>
    </row>
    <row r="334" spans="1:8" x14ac:dyDescent="0.3">
      <c r="A334" t="s">
        <v>1070</v>
      </c>
      <c r="B334" t="s">
        <v>43</v>
      </c>
      <c r="C334">
        <v>11</v>
      </c>
      <c r="D334" s="9">
        <v>94.35</v>
      </c>
      <c r="E334" t="s">
        <v>1041</v>
      </c>
      <c r="F334" s="10">
        <v>1958.58</v>
      </c>
      <c r="G334">
        <f>Meter[[#This Row],[EstimatedLoss_RM]]/0.8</f>
        <v>2448.2249999999999</v>
      </c>
      <c r="H334" t="str" cm="1">
        <f t="array" ref="H334">_xlfn.IFS(C334&lt;=5, "0–5 years", C334&lt;=10, "6–10 years", C334&lt;=15, "11–15 years", C334&lt;=20, "16–20 years", TRUE, "21–25 years")</f>
        <v>11–15 years</v>
      </c>
    </row>
    <row r="335" spans="1:8" x14ac:dyDescent="0.3">
      <c r="A335" t="s">
        <v>1142</v>
      </c>
      <c r="B335" t="s">
        <v>47</v>
      </c>
      <c r="C335">
        <v>8</v>
      </c>
      <c r="D335" s="2">
        <v>94.33</v>
      </c>
      <c r="E335" t="s">
        <v>1045</v>
      </c>
      <c r="F335" s="11">
        <v>1959.92</v>
      </c>
      <c r="G335">
        <f>Meter[[#This Row],[EstimatedLoss_RM]]/0.8</f>
        <v>2449.9</v>
      </c>
      <c r="H335" t="str" cm="1">
        <f t="array" ref="H335">_xlfn.IFS(C335&lt;=5, "0–5 years", C335&lt;=10, "6–10 years", C335&lt;=15, "11–15 years", C335&lt;=20, "16–20 years", TRUE, "21–25 years")</f>
        <v>6–10 years</v>
      </c>
    </row>
    <row r="336" spans="1:8" x14ac:dyDescent="0.3">
      <c r="A336" t="s">
        <v>1315</v>
      </c>
      <c r="B336" t="s">
        <v>40</v>
      </c>
      <c r="C336">
        <v>15</v>
      </c>
      <c r="D336" s="9">
        <v>94.33</v>
      </c>
      <c r="E336" t="s">
        <v>1043</v>
      </c>
      <c r="F336" s="10">
        <v>1959.78</v>
      </c>
      <c r="G336">
        <f>Meter[[#This Row],[EstimatedLoss_RM]]/0.8</f>
        <v>2449.7249999999999</v>
      </c>
      <c r="H336" t="str" cm="1">
        <f t="array" ref="H336">_xlfn.IFS(C336&lt;=5, "0–5 years", C336&lt;=10, "6–10 years", C336&lt;=15, "11–15 years", C336&lt;=20, "16–20 years", TRUE, "21–25 years")</f>
        <v>11–15 years</v>
      </c>
    </row>
    <row r="337" spans="1:8" x14ac:dyDescent="0.3">
      <c r="A337" t="s">
        <v>1757</v>
      </c>
      <c r="B337" t="s">
        <v>53</v>
      </c>
      <c r="C337">
        <v>9</v>
      </c>
      <c r="D337" s="2">
        <v>94.32</v>
      </c>
      <c r="E337" t="s">
        <v>1045</v>
      </c>
      <c r="F337" s="11">
        <v>1976.39</v>
      </c>
      <c r="G337">
        <f>Meter[[#This Row],[EstimatedLoss_RM]]/0.8</f>
        <v>2470.4875000000002</v>
      </c>
      <c r="H337" t="str" cm="1">
        <f t="array" ref="H337">_xlfn.IFS(C337&lt;=5, "0–5 years", C337&lt;=10, "6–10 years", C337&lt;=15, "11–15 years", C337&lt;=20, "16–20 years", TRUE, "21–25 years")</f>
        <v>6–10 years</v>
      </c>
    </row>
    <row r="338" spans="1:8" x14ac:dyDescent="0.3">
      <c r="A338" t="s">
        <v>1416</v>
      </c>
      <c r="B338" t="s">
        <v>43</v>
      </c>
      <c r="C338">
        <v>14</v>
      </c>
      <c r="D338" s="9">
        <v>94.32</v>
      </c>
      <c r="E338" t="s">
        <v>1043</v>
      </c>
      <c r="F338" s="10">
        <v>1978.65</v>
      </c>
      <c r="G338">
        <f>Meter[[#This Row],[EstimatedLoss_RM]]/0.8</f>
        <v>2473.3125</v>
      </c>
      <c r="H338" t="str" cm="1">
        <f t="array" ref="H338">_xlfn.IFS(C338&lt;=5, "0–5 years", C338&lt;=10, "6–10 years", C338&lt;=15, "11–15 years", C338&lt;=20, "16–20 years", TRUE, "21–25 years")</f>
        <v>11–15 years</v>
      </c>
    </row>
    <row r="339" spans="1:8" x14ac:dyDescent="0.3">
      <c r="A339" t="s">
        <v>1457</v>
      </c>
      <c r="B339" t="s">
        <v>47</v>
      </c>
      <c r="C339">
        <v>11</v>
      </c>
      <c r="D339" s="2">
        <v>94.26</v>
      </c>
      <c r="E339" t="s">
        <v>1045</v>
      </c>
      <c r="F339" s="11">
        <v>1992.42</v>
      </c>
      <c r="G339">
        <f>Meter[[#This Row],[EstimatedLoss_RM]]/0.8</f>
        <v>2490.5250000000001</v>
      </c>
      <c r="H339" t="str" cm="1">
        <f t="array" ref="H339">_xlfn.IFS(C339&lt;=5, "0–5 years", C339&lt;=10, "6–10 years", C339&lt;=15, "11–15 years", C339&lt;=20, "16–20 years", TRUE, "21–25 years")</f>
        <v>11–15 years</v>
      </c>
    </row>
    <row r="340" spans="1:8" x14ac:dyDescent="0.3">
      <c r="A340" t="s">
        <v>1634</v>
      </c>
      <c r="B340" t="s">
        <v>50</v>
      </c>
      <c r="C340">
        <v>7</v>
      </c>
      <c r="D340" s="9">
        <v>94.24</v>
      </c>
      <c r="E340" t="s">
        <v>1043</v>
      </c>
      <c r="F340" s="10">
        <v>1997.81</v>
      </c>
      <c r="G340">
        <f>Meter[[#This Row],[EstimatedLoss_RM]]/0.8</f>
        <v>2497.2624999999998</v>
      </c>
      <c r="H340" t="str" cm="1">
        <f t="array" ref="H340">_xlfn.IFS(C340&lt;=5, "0–5 years", C340&lt;=10, "6–10 years", C340&lt;=15, "11–15 years", C340&lt;=20, "16–20 years", TRUE, "21–25 years")</f>
        <v>6–10 years</v>
      </c>
    </row>
    <row r="341" spans="1:8" x14ac:dyDescent="0.3">
      <c r="A341" t="s">
        <v>1120</v>
      </c>
      <c r="B341" t="s">
        <v>41</v>
      </c>
      <c r="C341">
        <v>8</v>
      </c>
      <c r="D341" s="2">
        <v>94.2</v>
      </c>
      <c r="E341" t="s">
        <v>1043</v>
      </c>
      <c r="F341" s="11">
        <v>2020.25</v>
      </c>
      <c r="G341">
        <f>Meter[[#This Row],[EstimatedLoss_RM]]/0.8</f>
        <v>2525.3125</v>
      </c>
      <c r="H341" t="str" cm="1">
        <f t="array" ref="H341">_xlfn.IFS(C341&lt;=5, "0–5 years", C341&lt;=10, "6–10 years", C341&lt;=15, "11–15 years", C341&lt;=20, "16–20 years", TRUE, "21–25 years")</f>
        <v>6–10 years</v>
      </c>
    </row>
    <row r="342" spans="1:8" x14ac:dyDescent="0.3">
      <c r="A342" t="s">
        <v>1339</v>
      </c>
      <c r="B342" t="s">
        <v>44</v>
      </c>
      <c r="C342">
        <v>14</v>
      </c>
      <c r="D342" s="9">
        <v>94.2</v>
      </c>
      <c r="E342" t="s">
        <v>1043</v>
      </c>
      <c r="F342" s="10">
        <v>2012.35</v>
      </c>
      <c r="G342">
        <f>Meter[[#This Row],[EstimatedLoss_RM]]/0.8</f>
        <v>2515.4374999999995</v>
      </c>
      <c r="H342" t="str" cm="1">
        <f t="array" ref="H342">_xlfn.IFS(C342&lt;=5, "0–5 years", C342&lt;=10, "6–10 years", C342&lt;=15, "11–15 years", C342&lt;=20, "16–20 years", TRUE, "21–25 years")</f>
        <v>11–15 years</v>
      </c>
    </row>
    <row r="343" spans="1:8" x14ac:dyDescent="0.3">
      <c r="A343" t="s">
        <v>1481</v>
      </c>
      <c r="B343" t="s">
        <v>47</v>
      </c>
      <c r="C343">
        <v>1</v>
      </c>
      <c r="D343" s="2">
        <v>94.19</v>
      </c>
      <c r="E343" t="s">
        <v>1045</v>
      </c>
      <c r="F343" s="11">
        <v>2026.09</v>
      </c>
      <c r="G343">
        <f>Meter[[#This Row],[EstimatedLoss_RM]]/0.8</f>
        <v>2532.6124999999997</v>
      </c>
      <c r="H343" t="str" cm="1">
        <f t="array" ref="H343">_xlfn.IFS(C343&lt;=5, "0–5 years", C343&lt;=10, "6–10 years", C343&lt;=15, "11–15 years", C343&lt;=20, "16–20 years", TRUE, "21–25 years")</f>
        <v>0–5 years</v>
      </c>
    </row>
    <row r="344" spans="1:8" x14ac:dyDescent="0.3">
      <c r="A344" t="s">
        <v>1572</v>
      </c>
      <c r="B344" t="s">
        <v>38</v>
      </c>
      <c r="C344">
        <v>5</v>
      </c>
      <c r="D344" s="9">
        <v>94.19</v>
      </c>
      <c r="E344" t="s">
        <v>1043</v>
      </c>
      <c r="F344" s="10">
        <v>2022.12</v>
      </c>
      <c r="G344">
        <f>Meter[[#This Row],[EstimatedLoss_RM]]/0.8</f>
        <v>2527.6499999999996</v>
      </c>
      <c r="H344" t="str" cm="1">
        <f t="array" ref="H344">_xlfn.IFS(C344&lt;=5, "0–5 years", C344&lt;=10, "6–10 years", C344&lt;=15, "11–15 years", C344&lt;=20, "16–20 years", TRUE, "21–25 years")</f>
        <v>0–5 years</v>
      </c>
    </row>
    <row r="345" spans="1:8" x14ac:dyDescent="0.3">
      <c r="A345" t="s">
        <v>1738</v>
      </c>
      <c r="B345" t="s">
        <v>53</v>
      </c>
      <c r="C345">
        <v>8</v>
      </c>
      <c r="D345" s="2">
        <v>94.18</v>
      </c>
      <c r="E345" t="s">
        <v>1043</v>
      </c>
      <c r="F345" s="11">
        <v>2030.92</v>
      </c>
      <c r="G345">
        <f>Meter[[#This Row],[EstimatedLoss_RM]]/0.8</f>
        <v>2538.65</v>
      </c>
      <c r="H345" t="str" cm="1">
        <f t="array" ref="H345">_xlfn.IFS(C345&lt;=5, "0–5 years", C345&lt;=10, "6–10 years", C345&lt;=15, "11–15 years", C345&lt;=20, "16–20 years", TRUE, "21–25 years")</f>
        <v>6–10 years</v>
      </c>
    </row>
    <row r="346" spans="1:8" x14ac:dyDescent="0.3">
      <c r="A346" t="s">
        <v>1262</v>
      </c>
      <c r="B346" t="s">
        <v>49</v>
      </c>
      <c r="C346">
        <v>10</v>
      </c>
      <c r="D346" s="9">
        <v>94.16</v>
      </c>
      <c r="E346" t="s">
        <v>1045</v>
      </c>
      <c r="F346" s="10">
        <v>2035.26</v>
      </c>
      <c r="G346">
        <f>Meter[[#This Row],[EstimatedLoss_RM]]/0.8</f>
        <v>2544.0749999999998</v>
      </c>
      <c r="H346" t="str" cm="1">
        <f t="array" ref="H346">_xlfn.IFS(C346&lt;=5, "0–5 years", C346&lt;=10, "6–10 years", C346&lt;=15, "11–15 years", C346&lt;=20, "16–20 years", TRUE, "21–25 years")</f>
        <v>6–10 years</v>
      </c>
    </row>
    <row r="347" spans="1:8" x14ac:dyDescent="0.3">
      <c r="A347" t="s">
        <v>1359</v>
      </c>
      <c r="B347" t="s">
        <v>40</v>
      </c>
      <c r="C347">
        <v>13</v>
      </c>
      <c r="D347" s="2">
        <v>94.16</v>
      </c>
      <c r="E347" t="s">
        <v>1041</v>
      </c>
      <c r="F347" s="11">
        <v>2034.1</v>
      </c>
      <c r="G347">
        <f>Meter[[#This Row],[EstimatedLoss_RM]]/0.8</f>
        <v>2542.6249999999995</v>
      </c>
      <c r="H347" t="str" cm="1">
        <f t="array" ref="H347">_xlfn.IFS(C347&lt;=5, "0–5 years", C347&lt;=10, "6–10 years", C347&lt;=15, "11–15 years", C347&lt;=20, "16–20 years", TRUE, "21–25 years")</f>
        <v>11–15 years</v>
      </c>
    </row>
    <row r="348" spans="1:8" x14ac:dyDescent="0.3">
      <c r="A348" t="s">
        <v>1454</v>
      </c>
      <c r="B348" t="s">
        <v>42</v>
      </c>
      <c r="C348">
        <v>4</v>
      </c>
      <c r="D348" s="9">
        <v>94.15</v>
      </c>
      <c r="E348" t="s">
        <v>1045</v>
      </c>
      <c r="F348" s="10">
        <v>2042.17</v>
      </c>
      <c r="G348">
        <f>Meter[[#This Row],[EstimatedLoss_RM]]/0.8</f>
        <v>2552.7125000000001</v>
      </c>
      <c r="H348" t="str" cm="1">
        <f t="array" ref="H348">_xlfn.IFS(C348&lt;=5, "0–5 years", C348&lt;=10, "6–10 years", C348&lt;=15, "11–15 years", C348&lt;=20, "16–20 years", TRUE, "21–25 years")</f>
        <v>0–5 years</v>
      </c>
    </row>
    <row r="349" spans="1:8" x14ac:dyDescent="0.3">
      <c r="A349" t="s">
        <v>1743</v>
      </c>
      <c r="B349" t="s">
        <v>40</v>
      </c>
      <c r="C349">
        <v>7</v>
      </c>
      <c r="D349" s="2">
        <v>94.15</v>
      </c>
      <c r="E349" t="s">
        <v>1043</v>
      </c>
      <c r="F349" s="11">
        <v>2041.72</v>
      </c>
      <c r="G349">
        <f>Meter[[#This Row],[EstimatedLoss_RM]]/0.8</f>
        <v>2552.15</v>
      </c>
      <c r="H349" t="str" cm="1">
        <f t="array" ref="H349">_xlfn.IFS(C349&lt;=5, "0–5 years", C349&lt;=10, "6–10 years", C349&lt;=15, "11–15 years", C349&lt;=20, "16–20 years", TRUE, "21–25 years")</f>
        <v>6–10 years</v>
      </c>
    </row>
    <row r="350" spans="1:8" x14ac:dyDescent="0.3">
      <c r="A350" t="s">
        <v>1430</v>
      </c>
      <c r="B350" t="s">
        <v>43</v>
      </c>
      <c r="C350">
        <v>19</v>
      </c>
      <c r="D350" s="9">
        <v>94.15</v>
      </c>
      <c r="E350" t="s">
        <v>1045</v>
      </c>
      <c r="F350" s="10">
        <v>2039.62</v>
      </c>
      <c r="G350">
        <f>Meter[[#This Row],[EstimatedLoss_RM]]/0.8</f>
        <v>2549.5249999999996</v>
      </c>
      <c r="H350" t="str" cm="1">
        <f t="array" ref="H350">_xlfn.IFS(C350&lt;=5, "0–5 years", C350&lt;=10, "6–10 years", C350&lt;=15, "11–15 years", C350&lt;=20, "16–20 years", TRUE, "21–25 years")</f>
        <v>16–20 years</v>
      </c>
    </row>
    <row r="351" spans="1:8" x14ac:dyDescent="0.3">
      <c r="A351" t="s">
        <v>1242</v>
      </c>
      <c r="B351" t="s">
        <v>44</v>
      </c>
      <c r="C351">
        <v>4</v>
      </c>
      <c r="D351" s="2">
        <v>94.11</v>
      </c>
      <c r="E351" t="s">
        <v>1041</v>
      </c>
      <c r="F351" s="11">
        <v>2060.5</v>
      </c>
      <c r="G351">
        <f>Meter[[#This Row],[EstimatedLoss_RM]]/0.8</f>
        <v>2575.625</v>
      </c>
      <c r="H351" t="str" cm="1">
        <f t="array" ref="H351">_xlfn.IFS(C351&lt;=5, "0–5 years", C351&lt;=10, "6–10 years", C351&lt;=15, "11–15 years", C351&lt;=20, "16–20 years", TRUE, "21–25 years")</f>
        <v>0–5 years</v>
      </c>
    </row>
    <row r="352" spans="1:8" x14ac:dyDescent="0.3">
      <c r="A352" t="s">
        <v>1706</v>
      </c>
      <c r="B352" t="s">
        <v>41</v>
      </c>
      <c r="C352">
        <v>7</v>
      </c>
      <c r="D352" s="9">
        <v>94.11</v>
      </c>
      <c r="E352" t="s">
        <v>1043</v>
      </c>
      <c r="F352" s="10">
        <v>2055.0100000000002</v>
      </c>
      <c r="G352">
        <f>Meter[[#This Row],[EstimatedLoss_RM]]/0.8</f>
        <v>2568.7625000000003</v>
      </c>
      <c r="H352" t="str" cm="1">
        <f t="array" ref="H352">_xlfn.IFS(C352&lt;=5, "0–5 years", C352&lt;=10, "6–10 years", C352&lt;=15, "11–15 years", C352&lt;=20, "16–20 years", TRUE, "21–25 years")</f>
        <v>6–10 years</v>
      </c>
    </row>
    <row r="353" spans="1:8" x14ac:dyDescent="0.3">
      <c r="A353" t="s">
        <v>1765</v>
      </c>
      <c r="B353" t="s">
        <v>44</v>
      </c>
      <c r="C353">
        <v>3</v>
      </c>
      <c r="D353" s="2">
        <v>94.1</v>
      </c>
      <c r="E353" t="s">
        <v>1043</v>
      </c>
      <c r="F353" s="11">
        <v>2060.5700000000002</v>
      </c>
      <c r="G353">
        <f>Meter[[#This Row],[EstimatedLoss_RM]]/0.8</f>
        <v>2575.7125000000001</v>
      </c>
      <c r="H353" t="str" cm="1">
        <f t="array" ref="H353">_xlfn.IFS(C353&lt;=5, "0–5 years", C353&lt;=10, "6–10 years", C353&lt;=15, "11–15 years", C353&lt;=20, "16–20 years", TRUE, "21–25 years")</f>
        <v>0–5 years</v>
      </c>
    </row>
    <row r="354" spans="1:8" x14ac:dyDescent="0.3">
      <c r="A354" t="s">
        <v>1069</v>
      </c>
      <c r="B354" t="s">
        <v>38</v>
      </c>
      <c r="C354">
        <v>4</v>
      </c>
      <c r="D354" s="9">
        <v>94.1</v>
      </c>
      <c r="E354" t="s">
        <v>1043</v>
      </c>
      <c r="F354" s="10">
        <v>2065.58</v>
      </c>
      <c r="G354">
        <f>Meter[[#This Row],[EstimatedLoss_RM]]/0.8</f>
        <v>2581.9749999999999</v>
      </c>
      <c r="H354" t="str" cm="1">
        <f t="array" ref="H354">_xlfn.IFS(C354&lt;=5, "0–5 years", C354&lt;=10, "6–10 years", C354&lt;=15, "11–15 years", C354&lt;=20, "16–20 years", TRUE, "21–25 years")</f>
        <v>0–5 years</v>
      </c>
    </row>
    <row r="355" spans="1:8" x14ac:dyDescent="0.3">
      <c r="A355" t="s">
        <v>1790</v>
      </c>
      <c r="B355" t="s">
        <v>50</v>
      </c>
      <c r="C355">
        <v>6</v>
      </c>
      <c r="D355" s="2">
        <v>94.09</v>
      </c>
      <c r="E355" t="s">
        <v>1041</v>
      </c>
      <c r="F355" s="11">
        <v>2075.46</v>
      </c>
      <c r="G355">
        <f>Meter[[#This Row],[EstimatedLoss_RM]]/0.8</f>
        <v>2594.3249999999998</v>
      </c>
      <c r="H355" t="str" cm="1">
        <f t="array" ref="H355">_xlfn.IFS(C355&lt;=5, "0–5 years", C355&lt;=10, "6–10 years", C355&lt;=15, "11–15 years", C355&lt;=20, "16–20 years", TRUE, "21–25 years")</f>
        <v>6–10 years</v>
      </c>
    </row>
    <row r="356" spans="1:8" x14ac:dyDescent="0.3">
      <c r="A356" t="s">
        <v>1637</v>
      </c>
      <c r="B356" t="s">
        <v>47</v>
      </c>
      <c r="C356">
        <v>15</v>
      </c>
      <c r="D356" s="9">
        <v>94.08</v>
      </c>
      <c r="E356" t="s">
        <v>1041</v>
      </c>
      <c r="F356" s="10">
        <v>2079.87</v>
      </c>
      <c r="G356">
        <f>Meter[[#This Row],[EstimatedLoss_RM]]/0.8</f>
        <v>2599.8374999999996</v>
      </c>
      <c r="H356" t="str" cm="1">
        <f t="array" ref="H356">_xlfn.IFS(C356&lt;=5, "0–5 years", C356&lt;=10, "6–10 years", C356&lt;=15, "11–15 years", C356&lt;=20, "16–20 years", TRUE, "21–25 years")</f>
        <v>11–15 years</v>
      </c>
    </row>
    <row r="357" spans="1:8" x14ac:dyDescent="0.3">
      <c r="A357" t="s">
        <v>1617</v>
      </c>
      <c r="B357" t="s">
        <v>49</v>
      </c>
      <c r="C357">
        <v>14</v>
      </c>
      <c r="D357" s="2">
        <v>94.06</v>
      </c>
      <c r="E357" t="s">
        <v>1043</v>
      </c>
      <c r="F357" s="11">
        <v>2080.96</v>
      </c>
      <c r="G357">
        <f>Meter[[#This Row],[EstimatedLoss_RM]]/0.8</f>
        <v>2601.1999999999998</v>
      </c>
      <c r="H357" t="str" cm="1">
        <f t="array" ref="H357">_xlfn.IFS(C357&lt;=5, "0–5 years", C357&lt;=10, "6–10 years", C357&lt;=15, "11–15 years", C357&lt;=20, "16–20 years", TRUE, "21–25 years")</f>
        <v>11–15 years</v>
      </c>
    </row>
    <row r="358" spans="1:8" x14ac:dyDescent="0.3">
      <c r="A358" t="s">
        <v>1703</v>
      </c>
      <c r="B358" t="s">
        <v>39</v>
      </c>
      <c r="C358">
        <v>7</v>
      </c>
      <c r="D358" s="9">
        <v>94.05</v>
      </c>
      <c r="E358" t="s">
        <v>1045</v>
      </c>
      <c r="F358" s="10">
        <v>2084.27</v>
      </c>
      <c r="G358">
        <f>Meter[[#This Row],[EstimatedLoss_RM]]/0.8</f>
        <v>2605.3374999999996</v>
      </c>
      <c r="H358" t="str" cm="1">
        <f t="array" ref="H358">_xlfn.IFS(C358&lt;=5, "0–5 years", C358&lt;=10, "6–10 years", C358&lt;=15, "11–15 years", C358&lt;=20, "16–20 years", TRUE, "21–25 years")</f>
        <v>6–10 years</v>
      </c>
    </row>
    <row r="359" spans="1:8" x14ac:dyDescent="0.3">
      <c r="A359" t="s">
        <v>1218</v>
      </c>
      <c r="B359" t="s">
        <v>43</v>
      </c>
      <c r="C359">
        <v>14</v>
      </c>
      <c r="D359" s="2">
        <v>94.05</v>
      </c>
      <c r="E359" t="s">
        <v>1041</v>
      </c>
      <c r="F359" s="11">
        <v>2099.75</v>
      </c>
      <c r="G359">
        <f>Meter[[#This Row],[EstimatedLoss_RM]]/0.8</f>
        <v>2624.6875</v>
      </c>
      <c r="H359" t="str" cm="1">
        <f t="array" ref="H359">_xlfn.IFS(C359&lt;=5, "0–5 years", C359&lt;=10, "6–10 years", C359&lt;=15, "11–15 years", C359&lt;=20, "16–20 years", TRUE, "21–25 years")</f>
        <v>11–15 years</v>
      </c>
    </row>
    <row r="360" spans="1:8" x14ac:dyDescent="0.3">
      <c r="A360" t="s">
        <v>1647</v>
      </c>
      <c r="B360" t="s">
        <v>38</v>
      </c>
      <c r="C360">
        <v>12</v>
      </c>
      <c r="D360" s="9">
        <v>94.03</v>
      </c>
      <c r="E360" t="s">
        <v>1043</v>
      </c>
      <c r="F360" s="10">
        <v>2109.48</v>
      </c>
      <c r="G360">
        <f>Meter[[#This Row],[EstimatedLoss_RM]]/0.8</f>
        <v>2636.85</v>
      </c>
      <c r="H360" t="str" cm="1">
        <f t="array" ref="H360">_xlfn.IFS(C360&lt;=5, "0–5 years", C360&lt;=10, "6–10 years", C360&lt;=15, "11–15 years", C360&lt;=20, "16–20 years", TRUE, "21–25 years")</f>
        <v>11–15 years</v>
      </c>
    </row>
    <row r="361" spans="1:8" x14ac:dyDescent="0.3">
      <c r="A361" t="s">
        <v>1782</v>
      </c>
      <c r="B361" t="s">
        <v>43</v>
      </c>
      <c r="C361">
        <v>15</v>
      </c>
      <c r="D361" s="2">
        <v>94.03</v>
      </c>
      <c r="E361" t="s">
        <v>1043</v>
      </c>
      <c r="F361" s="11">
        <v>2115.2800000000002</v>
      </c>
      <c r="G361">
        <f>Meter[[#This Row],[EstimatedLoss_RM]]/0.8</f>
        <v>2644.1</v>
      </c>
      <c r="H361" t="str" cm="1">
        <f t="array" ref="H361">_xlfn.IFS(C361&lt;=5, "0–5 years", C361&lt;=10, "6–10 years", C361&lt;=15, "11–15 years", C361&lt;=20, "16–20 years", TRUE, "21–25 years")</f>
        <v>11–15 years</v>
      </c>
    </row>
    <row r="362" spans="1:8" x14ac:dyDescent="0.3">
      <c r="A362" t="s">
        <v>1663</v>
      </c>
      <c r="B362" t="s">
        <v>40</v>
      </c>
      <c r="C362">
        <v>6</v>
      </c>
      <c r="D362" s="9">
        <v>94.02</v>
      </c>
      <c r="E362" t="s">
        <v>1041</v>
      </c>
      <c r="F362" s="10">
        <v>2123.7199999999998</v>
      </c>
      <c r="G362">
        <f>Meter[[#This Row],[EstimatedLoss_RM]]/0.8</f>
        <v>2654.6499999999996</v>
      </c>
      <c r="H362" t="str" cm="1">
        <f t="array" ref="H362">_xlfn.IFS(C362&lt;=5, "0–5 years", C362&lt;=10, "6–10 years", C362&lt;=15, "11–15 years", C362&lt;=20, "16–20 years", TRUE, "21–25 years")</f>
        <v>6–10 years</v>
      </c>
    </row>
    <row r="363" spans="1:8" x14ac:dyDescent="0.3">
      <c r="A363" t="s">
        <v>1549</v>
      </c>
      <c r="B363" t="s">
        <v>44</v>
      </c>
      <c r="C363">
        <v>7</v>
      </c>
      <c r="D363" s="2">
        <v>94.02</v>
      </c>
      <c r="E363" t="s">
        <v>1045</v>
      </c>
      <c r="F363" s="11">
        <v>2136.73</v>
      </c>
      <c r="G363">
        <f>Meter[[#This Row],[EstimatedLoss_RM]]/0.8</f>
        <v>2670.9124999999999</v>
      </c>
      <c r="H363" t="str" cm="1">
        <f t="array" ref="H363">_xlfn.IFS(C363&lt;=5, "0–5 years", C363&lt;=10, "6–10 years", C363&lt;=15, "11–15 years", C363&lt;=20, "16–20 years", TRUE, "21–25 years")</f>
        <v>6–10 years</v>
      </c>
    </row>
    <row r="364" spans="1:8" x14ac:dyDescent="0.3">
      <c r="A364" t="s">
        <v>1864</v>
      </c>
      <c r="B364" t="s">
        <v>49</v>
      </c>
      <c r="C364">
        <v>17</v>
      </c>
      <c r="D364" s="9">
        <v>94.02</v>
      </c>
      <c r="E364" t="s">
        <v>1045</v>
      </c>
      <c r="F364" s="10">
        <v>2136.5</v>
      </c>
      <c r="G364">
        <f>Meter[[#This Row],[EstimatedLoss_RM]]/0.8</f>
        <v>2670.625</v>
      </c>
      <c r="H364" t="str" cm="1">
        <f t="array" ref="H364">_xlfn.IFS(C364&lt;=5, "0–5 years", C364&lt;=10, "6–10 years", C364&lt;=15, "11–15 years", C364&lt;=20, "16–20 years", TRUE, "21–25 years")</f>
        <v>16–20 years</v>
      </c>
    </row>
    <row r="365" spans="1:8" x14ac:dyDescent="0.3">
      <c r="A365" t="s">
        <v>1333</v>
      </c>
      <c r="B365" t="s">
        <v>52</v>
      </c>
      <c r="C365">
        <v>9</v>
      </c>
      <c r="D365" s="2">
        <v>93.98</v>
      </c>
      <c r="E365" t="s">
        <v>1045</v>
      </c>
      <c r="F365" s="11">
        <v>2138.31</v>
      </c>
      <c r="G365">
        <f>Meter[[#This Row],[EstimatedLoss_RM]]/0.8</f>
        <v>2672.8874999999998</v>
      </c>
      <c r="H365" t="str" cm="1">
        <f t="array" ref="H365">_xlfn.IFS(C365&lt;=5, "0–5 years", C365&lt;=10, "6–10 years", C365&lt;=15, "11–15 years", C365&lt;=20, "16–20 years", TRUE, "21–25 years")</f>
        <v>6–10 years</v>
      </c>
    </row>
    <row r="366" spans="1:8" x14ac:dyDescent="0.3">
      <c r="A366" t="s">
        <v>1189</v>
      </c>
      <c r="B366" t="s">
        <v>42</v>
      </c>
      <c r="C366">
        <v>4</v>
      </c>
      <c r="D366" s="9">
        <v>93.93</v>
      </c>
      <c r="E366" t="s">
        <v>1045</v>
      </c>
      <c r="F366" s="10">
        <v>2140.0700000000002</v>
      </c>
      <c r="G366">
        <f>Meter[[#This Row],[EstimatedLoss_RM]]/0.8</f>
        <v>2675.0875000000001</v>
      </c>
      <c r="H366" t="str" cm="1">
        <f t="array" ref="H366">_xlfn.IFS(C366&lt;=5, "0–5 years", C366&lt;=10, "6–10 years", C366&lt;=15, "11–15 years", C366&lt;=20, "16–20 years", TRUE, "21–25 years")</f>
        <v>0–5 years</v>
      </c>
    </row>
    <row r="367" spans="1:8" x14ac:dyDescent="0.3">
      <c r="A367" t="s">
        <v>1518</v>
      </c>
      <c r="B367" t="s">
        <v>50</v>
      </c>
      <c r="C367">
        <v>9</v>
      </c>
      <c r="D367" s="2">
        <v>93.9</v>
      </c>
      <c r="E367" t="s">
        <v>1045</v>
      </c>
      <c r="F367" s="11">
        <v>2142.7399999999998</v>
      </c>
      <c r="G367">
        <f>Meter[[#This Row],[EstimatedLoss_RM]]/0.8</f>
        <v>2678.4249999999997</v>
      </c>
      <c r="H367" t="str" cm="1">
        <f t="array" ref="H367">_xlfn.IFS(C367&lt;=5, "0–5 years", C367&lt;=10, "6–10 years", C367&lt;=15, "11–15 years", C367&lt;=20, "16–20 years", TRUE, "21–25 years")</f>
        <v>6–10 years</v>
      </c>
    </row>
    <row r="368" spans="1:8" x14ac:dyDescent="0.3">
      <c r="A368" t="s">
        <v>1224</v>
      </c>
      <c r="B368" t="s">
        <v>43</v>
      </c>
      <c r="C368">
        <v>6</v>
      </c>
      <c r="D368" s="9">
        <v>93.89</v>
      </c>
      <c r="E368" t="s">
        <v>1045</v>
      </c>
      <c r="F368" s="10">
        <v>2146.2600000000002</v>
      </c>
      <c r="G368">
        <f>Meter[[#This Row],[EstimatedLoss_RM]]/0.8</f>
        <v>2682.8250000000003</v>
      </c>
      <c r="H368" t="str" cm="1">
        <f t="array" ref="H368">_xlfn.IFS(C368&lt;=5, "0–5 years", C368&lt;=10, "6–10 years", C368&lt;=15, "11–15 years", C368&lt;=20, "16–20 years", TRUE, "21–25 years")</f>
        <v>6–10 years</v>
      </c>
    </row>
    <row r="369" spans="1:8" x14ac:dyDescent="0.3">
      <c r="A369" t="s">
        <v>1175</v>
      </c>
      <c r="B369" t="s">
        <v>46</v>
      </c>
      <c r="C369">
        <v>5</v>
      </c>
      <c r="D369" s="2">
        <v>93.88</v>
      </c>
      <c r="E369" t="s">
        <v>1041</v>
      </c>
      <c r="F369" s="11">
        <v>2146.31</v>
      </c>
      <c r="G369">
        <f>Meter[[#This Row],[EstimatedLoss_RM]]/0.8</f>
        <v>2682.8874999999998</v>
      </c>
      <c r="H369" t="str" cm="1">
        <f t="array" ref="H369">_xlfn.IFS(C369&lt;=5, "0–5 years", C369&lt;=10, "6–10 years", C369&lt;=15, "11–15 years", C369&lt;=20, "16–20 years", TRUE, "21–25 years")</f>
        <v>0–5 years</v>
      </c>
    </row>
    <row r="370" spans="1:8" x14ac:dyDescent="0.3">
      <c r="A370" t="s">
        <v>1404</v>
      </c>
      <c r="B370" t="s">
        <v>39</v>
      </c>
      <c r="C370">
        <v>18</v>
      </c>
      <c r="D370" s="9">
        <v>93.87</v>
      </c>
      <c r="E370" t="s">
        <v>1043</v>
      </c>
      <c r="F370" s="10">
        <v>2147.7600000000002</v>
      </c>
      <c r="G370">
        <f>Meter[[#This Row],[EstimatedLoss_RM]]/0.8</f>
        <v>2684.7000000000003</v>
      </c>
      <c r="H370" t="str" cm="1">
        <f t="array" ref="H370">_xlfn.IFS(C370&lt;=5, "0–5 years", C370&lt;=10, "6–10 years", C370&lt;=15, "11–15 years", C370&lt;=20, "16–20 years", TRUE, "21–25 years")</f>
        <v>16–20 years</v>
      </c>
    </row>
    <row r="371" spans="1:8" x14ac:dyDescent="0.3">
      <c r="A371" t="s">
        <v>1095</v>
      </c>
      <c r="B371" t="s">
        <v>40</v>
      </c>
      <c r="C371">
        <v>7</v>
      </c>
      <c r="D371" s="2">
        <v>93.85</v>
      </c>
      <c r="E371" t="s">
        <v>1041</v>
      </c>
      <c r="F371" s="11">
        <v>2152.25</v>
      </c>
      <c r="G371">
        <f>Meter[[#This Row],[EstimatedLoss_RM]]/0.8</f>
        <v>2690.3125</v>
      </c>
      <c r="H371" t="str" cm="1">
        <f t="array" ref="H371">_xlfn.IFS(C371&lt;=5, "0–5 years", C371&lt;=10, "6–10 years", C371&lt;=15, "11–15 years", C371&lt;=20, "16–20 years", TRUE, "21–25 years")</f>
        <v>6–10 years</v>
      </c>
    </row>
    <row r="372" spans="1:8" x14ac:dyDescent="0.3">
      <c r="A372" t="s">
        <v>1530</v>
      </c>
      <c r="B372" t="s">
        <v>42</v>
      </c>
      <c r="C372">
        <v>5</v>
      </c>
      <c r="D372" s="9">
        <v>93.84</v>
      </c>
      <c r="E372" t="s">
        <v>1043</v>
      </c>
      <c r="F372" s="10">
        <v>2154.3200000000002</v>
      </c>
      <c r="G372">
        <f>Meter[[#This Row],[EstimatedLoss_RM]]/0.8</f>
        <v>2692.9</v>
      </c>
      <c r="H372" t="str" cm="1">
        <f t="array" ref="H372">_xlfn.IFS(C372&lt;=5, "0–5 years", C372&lt;=10, "6–10 years", C372&lt;=15, "11–15 years", C372&lt;=20, "16–20 years", TRUE, "21–25 years")</f>
        <v>0–5 years</v>
      </c>
    </row>
    <row r="373" spans="1:8" x14ac:dyDescent="0.3">
      <c r="A373" t="s">
        <v>1548</v>
      </c>
      <c r="B373" t="s">
        <v>42</v>
      </c>
      <c r="C373">
        <v>8</v>
      </c>
      <c r="D373" s="2">
        <v>93.83</v>
      </c>
      <c r="E373" t="s">
        <v>1045</v>
      </c>
      <c r="F373" s="11">
        <v>2156.12</v>
      </c>
      <c r="G373">
        <f>Meter[[#This Row],[EstimatedLoss_RM]]/0.8</f>
        <v>2695.1499999999996</v>
      </c>
      <c r="H373" t="str" cm="1">
        <f t="array" ref="H373">_xlfn.IFS(C373&lt;=5, "0–5 years", C373&lt;=10, "6–10 years", C373&lt;=15, "11–15 years", C373&lt;=20, "16–20 years", TRUE, "21–25 years")</f>
        <v>6–10 years</v>
      </c>
    </row>
    <row r="374" spans="1:8" x14ac:dyDescent="0.3">
      <c r="A374" t="s">
        <v>1249</v>
      </c>
      <c r="B374" t="s">
        <v>42</v>
      </c>
      <c r="C374">
        <v>13</v>
      </c>
      <c r="D374" s="9">
        <v>93.83</v>
      </c>
      <c r="E374" t="s">
        <v>1045</v>
      </c>
      <c r="F374" s="10">
        <v>2167.6799999999998</v>
      </c>
      <c r="G374">
        <f>Meter[[#This Row],[EstimatedLoss_RM]]/0.8</f>
        <v>2709.5999999999995</v>
      </c>
      <c r="H374" t="str" cm="1">
        <f t="array" ref="H374">_xlfn.IFS(C374&lt;=5, "0–5 years", C374&lt;=10, "6–10 years", C374&lt;=15, "11–15 years", C374&lt;=20, "16–20 years", TRUE, "21–25 years")</f>
        <v>11–15 years</v>
      </c>
    </row>
    <row r="375" spans="1:8" x14ac:dyDescent="0.3">
      <c r="A375" t="s">
        <v>1754</v>
      </c>
      <c r="B375" t="s">
        <v>48</v>
      </c>
      <c r="C375">
        <v>10</v>
      </c>
      <c r="D375" s="2">
        <v>93.81</v>
      </c>
      <c r="E375" t="s">
        <v>1041</v>
      </c>
      <c r="F375" s="11">
        <v>2176.39</v>
      </c>
      <c r="G375">
        <f>Meter[[#This Row],[EstimatedLoss_RM]]/0.8</f>
        <v>2720.4874999999997</v>
      </c>
      <c r="H375" t="str" cm="1">
        <f t="array" ref="H375">_xlfn.IFS(C375&lt;=5, "0–5 years", C375&lt;=10, "6–10 years", C375&lt;=15, "11–15 years", C375&lt;=20, "16–20 years", TRUE, "21–25 years")</f>
        <v>6–10 years</v>
      </c>
    </row>
    <row r="376" spans="1:8" x14ac:dyDescent="0.3">
      <c r="A376" t="s">
        <v>1285</v>
      </c>
      <c r="B376" t="s">
        <v>41</v>
      </c>
      <c r="C376">
        <v>13</v>
      </c>
      <c r="D376" s="9">
        <v>93.81</v>
      </c>
      <c r="E376" t="s">
        <v>1045</v>
      </c>
      <c r="F376" s="10">
        <v>2172.91</v>
      </c>
      <c r="G376">
        <f>Meter[[#This Row],[EstimatedLoss_RM]]/0.8</f>
        <v>2716.1374999999998</v>
      </c>
      <c r="H376" t="str" cm="1">
        <f t="array" ref="H376">_xlfn.IFS(C376&lt;=5, "0–5 years", C376&lt;=10, "6–10 years", C376&lt;=15, "11–15 years", C376&lt;=20, "16–20 years", TRUE, "21–25 years")</f>
        <v>11–15 years</v>
      </c>
    </row>
    <row r="377" spans="1:8" x14ac:dyDescent="0.3">
      <c r="A377" t="s">
        <v>1505</v>
      </c>
      <c r="B377" t="s">
        <v>46</v>
      </c>
      <c r="C377">
        <v>7</v>
      </c>
      <c r="D377" s="2">
        <v>93.8</v>
      </c>
      <c r="E377" t="s">
        <v>1043</v>
      </c>
      <c r="F377" s="11">
        <v>2187.96</v>
      </c>
      <c r="G377">
        <f>Meter[[#This Row],[EstimatedLoss_RM]]/0.8</f>
        <v>2734.95</v>
      </c>
      <c r="H377" t="str" cm="1">
        <f t="array" ref="H377">_xlfn.IFS(C377&lt;=5, "0–5 years", C377&lt;=10, "6–10 years", C377&lt;=15, "11–15 years", C377&lt;=20, "16–20 years", TRUE, "21–25 years")</f>
        <v>6–10 years</v>
      </c>
    </row>
    <row r="378" spans="1:8" x14ac:dyDescent="0.3">
      <c r="A378" t="s">
        <v>1477</v>
      </c>
      <c r="B378" t="s">
        <v>46</v>
      </c>
      <c r="C378">
        <v>18</v>
      </c>
      <c r="D378" s="9">
        <v>93.8</v>
      </c>
      <c r="E378" t="s">
        <v>1045</v>
      </c>
      <c r="F378" s="10">
        <v>2186.38</v>
      </c>
      <c r="G378">
        <f>Meter[[#This Row],[EstimatedLoss_RM]]/0.8</f>
        <v>2732.9749999999999</v>
      </c>
      <c r="H378" t="str" cm="1">
        <f t="array" ref="H378">_xlfn.IFS(C378&lt;=5, "0–5 years", C378&lt;=10, "6–10 years", C378&lt;=15, "11–15 years", C378&lt;=20, "16–20 years", TRUE, "21–25 years")</f>
        <v>16–20 years</v>
      </c>
    </row>
    <row r="379" spans="1:8" x14ac:dyDescent="0.3">
      <c r="A379" t="s">
        <v>1172</v>
      </c>
      <c r="B379" t="s">
        <v>53</v>
      </c>
      <c r="C379">
        <v>8</v>
      </c>
      <c r="D379" s="2">
        <v>93.79</v>
      </c>
      <c r="E379" t="s">
        <v>1045</v>
      </c>
      <c r="F379" s="11">
        <v>2189.6799999999998</v>
      </c>
      <c r="G379">
        <f>Meter[[#This Row],[EstimatedLoss_RM]]/0.8</f>
        <v>2737.0999999999995</v>
      </c>
      <c r="H379" t="str" cm="1">
        <f t="array" ref="H379">_xlfn.IFS(C379&lt;=5, "0–5 years", C379&lt;=10, "6–10 years", C379&lt;=15, "11–15 years", C379&lt;=20, "16–20 years", TRUE, "21–25 years")</f>
        <v>6–10 years</v>
      </c>
    </row>
    <row r="380" spans="1:8" x14ac:dyDescent="0.3">
      <c r="A380" t="s">
        <v>1139</v>
      </c>
      <c r="B380" t="s">
        <v>40</v>
      </c>
      <c r="C380">
        <v>12</v>
      </c>
      <c r="D380" s="9">
        <v>93.79</v>
      </c>
      <c r="E380" t="s">
        <v>1041</v>
      </c>
      <c r="F380" s="10">
        <v>2196.27</v>
      </c>
      <c r="G380">
        <f>Meter[[#This Row],[EstimatedLoss_RM]]/0.8</f>
        <v>2745.3374999999996</v>
      </c>
      <c r="H380" t="str" cm="1">
        <f t="array" ref="H380">_xlfn.IFS(C380&lt;=5, "0–5 years", C380&lt;=10, "6–10 years", C380&lt;=15, "11–15 years", C380&lt;=20, "16–20 years", TRUE, "21–25 years")</f>
        <v>11–15 years</v>
      </c>
    </row>
    <row r="381" spans="1:8" x14ac:dyDescent="0.3">
      <c r="A381" t="s">
        <v>1491</v>
      </c>
      <c r="B381" t="s">
        <v>46</v>
      </c>
      <c r="C381">
        <v>8</v>
      </c>
      <c r="D381" s="2">
        <v>93.77</v>
      </c>
      <c r="E381" t="s">
        <v>1045</v>
      </c>
      <c r="F381" s="11">
        <v>2201.77</v>
      </c>
      <c r="G381">
        <f>Meter[[#This Row],[EstimatedLoss_RM]]/0.8</f>
        <v>2752.2124999999996</v>
      </c>
      <c r="H381" t="str" cm="1">
        <f t="array" ref="H381">_xlfn.IFS(C381&lt;=5, "0–5 years", C381&lt;=10, "6–10 years", C381&lt;=15, "11–15 years", C381&lt;=20, "16–20 years", TRUE, "21–25 years")</f>
        <v>6–10 years</v>
      </c>
    </row>
    <row r="382" spans="1:8" x14ac:dyDescent="0.3">
      <c r="A382" t="s">
        <v>1257</v>
      </c>
      <c r="B382" t="s">
        <v>48</v>
      </c>
      <c r="C382">
        <v>9</v>
      </c>
      <c r="D382" s="9">
        <v>93.77</v>
      </c>
      <c r="E382" t="s">
        <v>1041</v>
      </c>
      <c r="F382" s="10">
        <v>2203.29</v>
      </c>
      <c r="G382">
        <f>Meter[[#This Row],[EstimatedLoss_RM]]/0.8</f>
        <v>2754.1124999999997</v>
      </c>
      <c r="H382" t="str" cm="1">
        <f t="array" ref="H382">_xlfn.IFS(C382&lt;=5, "0–5 years", C382&lt;=10, "6–10 years", C382&lt;=15, "11–15 years", C382&lt;=20, "16–20 years", TRUE, "21–25 years")</f>
        <v>6–10 years</v>
      </c>
    </row>
    <row r="383" spans="1:8" x14ac:dyDescent="0.3">
      <c r="A383" t="s">
        <v>1861</v>
      </c>
      <c r="B383" t="s">
        <v>46</v>
      </c>
      <c r="C383">
        <v>11</v>
      </c>
      <c r="D383" s="2">
        <v>93.76</v>
      </c>
      <c r="E383" t="s">
        <v>1041</v>
      </c>
      <c r="F383" s="11">
        <v>2210.4699999999998</v>
      </c>
      <c r="G383">
        <f>Meter[[#This Row],[EstimatedLoss_RM]]/0.8</f>
        <v>2763.0874999999996</v>
      </c>
      <c r="H383" t="str" cm="1">
        <f t="array" ref="H383">_xlfn.IFS(C383&lt;=5, "0–5 years", C383&lt;=10, "6–10 years", C383&lt;=15, "11–15 years", C383&lt;=20, "16–20 years", TRUE, "21–25 years")</f>
        <v>11–15 years</v>
      </c>
    </row>
    <row r="384" spans="1:8" x14ac:dyDescent="0.3">
      <c r="A384" t="s">
        <v>1614</v>
      </c>
      <c r="B384" t="s">
        <v>39</v>
      </c>
      <c r="C384">
        <v>19</v>
      </c>
      <c r="D384" s="9">
        <v>93.75</v>
      </c>
      <c r="E384" t="s">
        <v>1045</v>
      </c>
      <c r="F384" s="10">
        <v>2212.61</v>
      </c>
      <c r="G384">
        <f>Meter[[#This Row],[EstimatedLoss_RM]]/0.8</f>
        <v>2765.7624999999998</v>
      </c>
      <c r="H384" t="str" cm="1">
        <f t="array" ref="H384">_xlfn.IFS(C384&lt;=5, "0–5 years", C384&lt;=10, "6–10 years", C384&lt;=15, "11–15 years", C384&lt;=20, "16–20 years", TRUE, "21–25 years")</f>
        <v>16–20 years</v>
      </c>
    </row>
    <row r="385" spans="1:8" x14ac:dyDescent="0.3">
      <c r="A385" t="s">
        <v>1490</v>
      </c>
      <c r="B385" t="s">
        <v>42</v>
      </c>
      <c r="C385">
        <v>6</v>
      </c>
      <c r="D385" s="2">
        <v>93.72</v>
      </c>
      <c r="E385" t="s">
        <v>1045</v>
      </c>
      <c r="F385" s="11">
        <v>2227.2199999999998</v>
      </c>
      <c r="G385">
        <f>Meter[[#This Row],[EstimatedLoss_RM]]/0.8</f>
        <v>2784.0249999999996</v>
      </c>
      <c r="H385" t="str" cm="1">
        <f t="array" ref="H385">_xlfn.IFS(C385&lt;=5, "0–5 years", C385&lt;=10, "6–10 years", C385&lt;=15, "11–15 years", C385&lt;=20, "16–20 years", TRUE, "21–25 years")</f>
        <v>6–10 years</v>
      </c>
    </row>
    <row r="386" spans="1:8" x14ac:dyDescent="0.3">
      <c r="A386" t="s">
        <v>1042</v>
      </c>
      <c r="B386" t="s">
        <v>39</v>
      </c>
      <c r="C386">
        <v>10</v>
      </c>
      <c r="D386" s="9">
        <v>93.72</v>
      </c>
      <c r="E386" t="s">
        <v>1043</v>
      </c>
      <c r="F386" s="10">
        <v>2222.62</v>
      </c>
      <c r="G386">
        <f>Meter[[#This Row],[EstimatedLoss_RM]]/0.8</f>
        <v>2778.2749999999996</v>
      </c>
      <c r="H386" t="str" cm="1">
        <f t="array" ref="H386">_xlfn.IFS(C386&lt;=5, "0–5 years", C386&lt;=10, "6–10 years", C386&lt;=15, "11–15 years", C386&lt;=20, "16–20 years", TRUE, "21–25 years")</f>
        <v>6–10 years</v>
      </c>
    </row>
    <row r="387" spans="1:8" x14ac:dyDescent="0.3">
      <c r="A387" t="s">
        <v>1571</v>
      </c>
      <c r="B387" t="s">
        <v>38</v>
      </c>
      <c r="C387">
        <v>12</v>
      </c>
      <c r="D387" s="2">
        <v>93.72</v>
      </c>
      <c r="E387" t="s">
        <v>1043</v>
      </c>
      <c r="F387" s="11">
        <v>2220.06</v>
      </c>
      <c r="G387">
        <f>Meter[[#This Row],[EstimatedLoss_RM]]/0.8</f>
        <v>2775.0749999999998</v>
      </c>
      <c r="H387" t="str" cm="1">
        <f t="array" ref="H387">_xlfn.IFS(C387&lt;=5, "0–5 years", C387&lt;=10, "6–10 years", C387&lt;=15, "11–15 years", C387&lt;=20, "16–20 years", TRUE, "21–25 years")</f>
        <v>11–15 years</v>
      </c>
    </row>
    <row r="388" spans="1:8" x14ac:dyDescent="0.3">
      <c r="A388" t="s">
        <v>1578</v>
      </c>
      <c r="B388" t="s">
        <v>47</v>
      </c>
      <c r="C388">
        <v>11</v>
      </c>
      <c r="D388" s="9">
        <v>93.69</v>
      </c>
      <c r="E388" t="s">
        <v>1041</v>
      </c>
      <c r="F388" s="10">
        <v>2239.67</v>
      </c>
      <c r="G388">
        <f>Meter[[#This Row],[EstimatedLoss_RM]]/0.8</f>
        <v>2799.5875000000001</v>
      </c>
      <c r="H388" t="str" cm="1">
        <f t="array" ref="H388">_xlfn.IFS(C388&lt;=5, "0–5 years", C388&lt;=10, "6–10 years", C388&lt;=15, "11–15 years", C388&lt;=20, "16–20 years", TRUE, "21–25 years")</f>
        <v>11–15 years</v>
      </c>
    </row>
    <row r="389" spans="1:8" x14ac:dyDescent="0.3">
      <c r="A389" t="s">
        <v>1857</v>
      </c>
      <c r="B389" t="s">
        <v>40</v>
      </c>
      <c r="C389">
        <v>16</v>
      </c>
      <c r="D389" s="2">
        <v>93.66</v>
      </c>
      <c r="E389" t="s">
        <v>1041</v>
      </c>
      <c r="F389" s="11">
        <v>2244.5500000000002</v>
      </c>
      <c r="G389">
        <f>Meter[[#This Row],[EstimatedLoss_RM]]/0.8</f>
        <v>2805.6875</v>
      </c>
      <c r="H389" t="str" cm="1">
        <f t="array" ref="H389">_xlfn.IFS(C389&lt;=5, "0–5 years", C389&lt;=10, "6–10 years", C389&lt;=15, "11–15 years", C389&lt;=20, "16–20 years", TRUE, "21–25 years")</f>
        <v>16–20 years</v>
      </c>
    </row>
    <row r="390" spans="1:8" x14ac:dyDescent="0.3">
      <c r="A390" t="s">
        <v>1296</v>
      </c>
      <c r="B390" t="s">
        <v>40</v>
      </c>
      <c r="C390">
        <v>16</v>
      </c>
      <c r="D390" s="9">
        <v>93.66</v>
      </c>
      <c r="E390" t="s">
        <v>1045</v>
      </c>
      <c r="F390" s="10">
        <v>2246.4899999999998</v>
      </c>
      <c r="G390">
        <f>Meter[[#This Row],[EstimatedLoss_RM]]/0.8</f>
        <v>2808.1124999999997</v>
      </c>
      <c r="H390" t="str" cm="1">
        <f t="array" ref="H390">_xlfn.IFS(C390&lt;=5, "0–5 years", C390&lt;=10, "6–10 years", C390&lt;=15, "11–15 years", C390&lt;=20, "16–20 years", TRUE, "21–25 years")</f>
        <v>16–20 years</v>
      </c>
    </row>
    <row r="391" spans="1:8" x14ac:dyDescent="0.3">
      <c r="A391" t="s">
        <v>1247</v>
      </c>
      <c r="B391" t="s">
        <v>39</v>
      </c>
      <c r="C391">
        <v>4</v>
      </c>
      <c r="D391" s="2">
        <v>93.64</v>
      </c>
      <c r="E391" t="s">
        <v>1045</v>
      </c>
      <c r="F391" s="11">
        <v>2250.8000000000002</v>
      </c>
      <c r="G391">
        <f>Meter[[#This Row],[EstimatedLoss_RM]]/0.8</f>
        <v>2813.5</v>
      </c>
      <c r="H391" t="str" cm="1">
        <f t="array" ref="H391">_xlfn.IFS(C391&lt;=5, "0–5 years", C391&lt;=10, "6–10 years", C391&lt;=15, "11–15 years", C391&lt;=20, "16–20 years", TRUE, "21–25 years")</f>
        <v>0–5 years</v>
      </c>
    </row>
    <row r="392" spans="1:8" x14ac:dyDescent="0.3">
      <c r="A392" t="s">
        <v>1849</v>
      </c>
      <c r="B392" t="s">
        <v>42</v>
      </c>
      <c r="C392">
        <v>12</v>
      </c>
      <c r="D392" s="9">
        <v>93.64</v>
      </c>
      <c r="E392" t="s">
        <v>1043</v>
      </c>
      <c r="F392" s="10">
        <v>2251.7600000000002</v>
      </c>
      <c r="G392">
        <f>Meter[[#This Row],[EstimatedLoss_RM]]/0.8</f>
        <v>2814.7000000000003</v>
      </c>
      <c r="H392" t="str" cm="1">
        <f t="array" ref="H392">_xlfn.IFS(C392&lt;=5, "0–5 years", C392&lt;=10, "6–10 years", C392&lt;=15, "11–15 years", C392&lt;=20, "16–20 years", TRUE, "21–25 years")</f>
        <v>11–15 years</v>
      </c>
    </row>
    <row r="393" spans="1:8" x14ac:dyDescent="0.3">
      <c r="A393" t="s">
        <v>1669</v>
      </c>
      <c r="B393" t="s">
        <v>49</v>
      </c>
      <c r="C393">
        <v>6</v>
      </c>
      <c r="D393" s="2">
        <v>93.62</v>
      </c>
      <c r="E393" t="s">
        <v>1041</v>
      </c>
      <c r="F393" s="11">
        <v>2251.9</v>
      </c>
      <c r="G393">
        <f>Meter[[#This Row],[EstimatedLoss_RM]]/0.8</f>
        <v>2814.875</v>
      </c>
      <c r="H393" t="str" cm="1">
        <f t="array" ref="H393">_xlfn.IFS(C393&lt;=5, "0–5 years", C393&lt;=10, "6–10 years", C393&lt;=15, "11–15 years", C393&lt;=20, "16–20 years", TRUE, "21–25 years")</f>
        <v>6–10 years</v>
      </c>
    </row>
    <row r="394" spans="1:8" x14ac:dyDescent="0.3">
      <c r="A394" t="s">
        <v>1169</v>
      </c>
      <c r="B394" t="s">
        <v>47</v>
      </c>
      <c r="C394">
        <v>6</v>
      </c>
      <c r="D394" s="9">
        <v>93.62</v>
      </c>
      <c r="E394" t="s">
        <v>1045</v>
      </c>
      <c r="F394" s="10">
        <v>2264.8000000000002</v>
      </c>
      <c r="G394">
        <f>Meter[[#This Row],[EstimatedLoss_RM]]/0.8</f>
        <v>2831</v>
      </c>
      <c r="H394" t="str" cm="1">
        <f t="array" ref="H394">_xlfn.IFS(C394&lt;=5, "0–5 years", C394&lt;=10, "6–10 years", C394&lt;=15, "11–15 years", C394&lt;=20, "16–20 years", TRUE, "21–25 years")</f>
        <v>6–10 years</v>
      </c>
    </row>
    <row r="395" spans="1:8" x14ac:dyDescent="0.3">
      <c r="A395" t="s">
        <v>1906</v>
      </c>
      <c r="B395" t="s">
        <v>41</v>
      </c>
      <c r="C395">
        <v>20</v>
      </c>
      <c r="D395" s="2">
        <v>93.59</v>
      </c>
      <c r="E395" t="s">
        <v>1041</v>
      </c>
      <c r="F395" s="11">
        <v>2273.54</v>
      </c>
      <c r="G395">
        <f>Meter[[#This Row],[EstimatedLoss_RM]]/0.8</f>
        <v>2841.9249999999997</v>
      </c>
      <c r="H395" t="str" cm="1">
        <f t="array" ref="H395">_xlfn.IFS(C395&lt;=5, "0–5 years", C395&lt;=10, "6–10 years", C395&lt;=15, "11–15 years", C395&lt;=20, "16–20 years", TRUE, "21–25 years")</f>
        <v>16–20 years</v>
      </c>
    </row>
    <row r="396" spans="1:8" x14ac:dyDescent="0.3">
      <c r="A396" t="s">
        <v>1598</v>
      </c>
      <c r="B396" t="s">
        <v>40</v>
      </c>
      <c r="C396">
        <v>9</v>
      </c>
      <c r="D396" s="9">
        <v>93.58</v>
      </c>
      <c r="E396" t="s">
        <v>1041</v>
      </c>
      <c r="F396" s="10">
        <v>2277.4699999999998</v>
      </c>
      <c r="G396">
        <f>Meter[[#This Row],[EstimatedLoss_RM]]/0.8</f>
        <v>2846.8374999999996</v>
      </c>
      <c r="H396" t="str" cm="1">
        <f t="array" ref="H396">_xlfn.IFS(C396&lt;=5, "0–5 years", C396&lt;=10, "6–10 years", C396&lt;=15, "11–15 years", C396&lt;=20, "16–20 years", TRUE, "21–25 years")</f>
        <v>6–10 years</v>
      </c>
    </row>
    <row r="397" spans="1:8" x14ac:dyDescent="0.3">
      <c r="A397" t="s">
        <v>1420</v>
      </c>
      <c r="B397" t="s">
        <v>49</v>
      </c>
      <c r="C397">
        <v>12</v>
      </c>
      <c r="D397" s="2">
        <v>93.57</v>
      </c>
      <c r="E397" t="s">
        <v>1045</v>
      </c>
      <c r="F397" s="11">
        <v>2279.17</v>
      </c>
      <c r="G397">
        <f>Meter[[#This Row],[EstimatedLoss_RM]]/0.8</f>
        <v>2848.9625000000001</v>
      </c>
      <c r="H397" t="str" cm="1">
        <f t="array" ref="H397">_xlfn.IFS(C397&lt;=5, "0–5 years", C397&lt;=10, "6–10 years", C397&lt;=15, "11–15 years", C397&lt;=20, "16–20 years", TRUE, "21–25 years")</f>
        <v>11–15 years</v>
      </c>
    </row>
    <row r="398" spans="1:8" x14ac:dyDescent="0.3">
      <c r="A398" t="s">
        <v>1508</v>
      </c>
      <c r="B398" t="s">
        <v>43</v>
      </c>
      <c r="C398">
        <v>10</v>
      </c>
      <c r="D398" s="9">
        <v>93.56</v>
      </c>
      <c r="E398" t="s">
        <v>1043</v>
      </c>
      <c r="F398" s="10">
        <v>2297.6799999999998</v>
      </c>
      <c r="G398">
        <f>Meter[[#This Row],[EstimatedLoss_RM]]/0.8</f>
        <v>2872.0999999999995</v>
      </c>
      <c r="H398" t="str" cm="1">
        <f t="array" ref="H398">_xlfn.IFS(C398&lt;=5, "0–5 years", C398&lt;=10, "6–10 years", C398&lt;=15, "11–15 years", C398&lt;=20, "16–20 years", TRUE, "21–25 years")</f>
        <v>6–10 years</v>
      </c>
    </row>
    <row r="399" spans="1:8" x14ac:dyDescent="0.3">
      <c r="A399" t="s">
        <v>1893</v>
      </c>
      <c r="B399" t="s">
        <v>48</v>
      </c>
      <c r="C399">
        <v>8</v>
      </c>
      <c r="D399" s="2">
        <v>93.55</v>
      </c>
      <c r="E399" t="s">
        <v>1041</v>
      </c>
      <c r="F399" s="11">
        <v>2306.4699999999998</v>
      </c>
      <c r="G399">
        <f>Meter[[#This Row],[EstimatedLoss_RM]]/0.8</f>
        <v>2883.0874999999996</v>
      </c>
      <c r="H399" t="str" cm="1">
        <f t="array" ref="H399">_xlfn.IFS(C399&lt;=5, "0–5 years", C399&lt;=10, "6–10 years", C399&lt;=15, "11–15 years", C399&lt;=20, "16–20 years", TRUE, "21–25 years")</f>
        <v>6–10 years</v>
      </c>
    </row>
    <row r="400" spans="1:8" x14ac:dyDescent="0.3">
      <c r="A400" t="s">
        <v>1539</v>
      </c>
      <c r="B400" t="s">
        <v>44</v>
      </c>
      <c r="C400">
        <v>6</v>
      </c>
      <c r="D400" s="9">
        <v>93.53</v>
      </c>
      <c r="E400" t="s">
        <v>1041</v>
      </c>
      <c r="F400" s="10">
        <v>2314.0100000000002</v>
      </c>
      <c r="G400">
        <f>Meter[[#This Row],[EstimatedLoss_RM]]/0.8</f>
        <v>2892.5125000000003</v>
      </c>
      <c r="H400" t="str" cm="1">
        <f t="array" ref="H400">_xlfn.IFS(C400&lt;=5, "0–5 years", C400&lt;=10, "6–10 years", C400&lt;=15, "11–15 years", C400&lt;=20, "16–20 years", TRUE, "21–25 years")</f>
        <v>6–10 years</v>
      </c>
    </row>
    <row r="401" spans="1:8" x14ac:dyDescent="0.3">
      <c r="A401" t="s">
        <v>1600</v>
      </c>
      <c r="B401" t="s">
        <v>52</v>
      </c>
      <c r="C401">
        <v>9</v>
      </c>
      <c r="D401" s="2">
        <v>93.53</v>
      </c>
      <c r="E401" t="s">
        <v>1041</v>
      </c>
      <c r="F401" s="11">
        <v>2317.25</v>
      </c>
      <c r="G401">
        <f>Meter[[#This Row],[EstimatedLoss_RM]]/0.8</f>
        <v>2896.5625</v>
      </c>
      <c r="H401" t="str" cm="1">
        <f t="array" ref="H401">_xlfn.IFS(C401&lt;=5, "0–5 years", C401&lt;=10, "6–10 years", C401&lt;=15, "11–15 years", C401&lt;=20, "16–20 years", TRUE, "21–25 years")</f>
        <v>6–10 years</v>
      </c>
    </row>
    <row r="402" spans="1:8" x14ac:dyDescent="0.3">
      <c r="A402" t="s">
        <v>1116</v>
      </c>
      <c r="B402" t="s">
        <v>45</v>
      </c>
      <c r="C402">
        <v>19</v>
      </c>
      <c r="D402" s="9">
        <v>93.53</v>
      </c>
      <c r="E402" t="s">
        <v>1041</v>
      </c>
      <c r="F402" s="10">
        <v>2318.7399999999998</v>
      </c>
      <c r="G402">
        <f>Meter[[#This Row],[EstimatedLoss_RM]]/0.8</f>
        <v>2898.4249999999997</v>
      </c>
      <c r="H402" t="str" cm="1">
        <f t="array" ref="H402">_xlfn.IFS(C402&lt;=5, "0–5 years", C402&lt;=10, "6–10 years", C402&lt;=15, "11–15 years", C402&lt;=20, "16–20 years", TRUE, "21–25 years")</f>
        <v>16–20 years</v>
      </c>
    </row>
    <row r="403" spans="1:8" x14ac:dyDescent="0.3">
      <c r="A403" t="s">
        <v>1827</v>
      </c>
      <c r="B403" t="s">
        <v>52</v>
      </c>
      <c r="C403">
        <v>14</v>
      </c>
      <c r="D403" s="2">
        <v>93.52</v>
      </c>
      <c r="E403" t="s">
        <v>1041</v>
      </c>
      <c r="F403" s="11">
        <v>2319.37</v>
      </c>
      <c r="G403">
        <f>Meter[[#This Row],[EstimatedLoss_RM]]/0.8</f>
        <v>2899.2124999999996</v>
      </c>
      <c r="H403" t="str" cm="1">
        <f t="array" ref="H403">_xlfn.IFS(C403&lt;=5, "0–5 years", C403&lt;=10, "6–10 years", C403&lt;=15, "11–15 years", C403&lt;=20, "16–20 years", TRUE, "21–25 years")</f>
        <v>11–15 years</v>
      </c>
    </row>
    <row r="404" spans="1:8" x14ac:dyDescent="0.3">
      <c r="A404" t="s">
        <v>1770</v>
      </c>
      <c r="B404" t="s">
        <v>43</v>
      </c>
      <c r="C404">
        <v>13</v>
      </c>
      <c r="D404" s="9">
        <v>93.5</v>
      </c>
      <c r="E404" t="s">
        <v>1041</v>
      </c>
      <c r="F404" s="10">
        <v>2321.73</v>
      </c>
      <c r="G404">
        <f>Meter[[#This Row],[EstimatedLoss_RM]]/0.8</f>
        <v>2902.1624999999999</v>
      </c>
      <c r="H404" t="str" cm="1">
        <f t="array" ref="H404">_xlfn.IFS(C404&lt;=5, "0–5 years", C404&lt;=10, "6–10 years", C404&lt;=15, "11–15 years", C404&lt;=20, "16–20 years", TRUE, "21–25 years")</f>
        <v>11–15 years</v>
      </c>
    </row>
    <row r="405" spans="1:8" x14ac:dyDescent="0.3">
      <c r="A405" t="s">
        <v>1564</v>
      </c>
      <c r="B405" t="s">
        <v>41</v>
      </c>
      <c r="C405">
        <v>14</v>
      </c>
      <c r="D405" s="2">
        <v>93.49</v>
      </c>
      <c r="E405" t="s">
        <v>1043</v>
      </c>
      <c r="F405" s="11">
        <v>2323.84</v>
      </c>
      <c r="G405">
        <f>Meter[[#This Row],[EstimatedLoss_RM]]/0.8</f>
        <v>2904.8</v>
      </c>
      <c r="H405" t="str" cm="1">
        <f t="array" ref="H405">_xlfn.IFS(C405&lt;=5, "0–5 years", C405&lt;=10, "6–10 years", C405&lt;=15, "11–15 years", C405&lt;=20, "16–20 years", TRUE, "21–25 years")</f>
        <v>11–15 years</v>
      </c>
    </row>
    <row r="406" spans="1:8" x14ac:dyDescent="0.3">
      <c r="A406" t="s">
        <v>1666</v>
      </c>
      <c r="B406" t="s">
        <v>38</v>
      </c>
      <c r="C406">
        <v>18</v>
      </c>
      <c r="D406" s="9">
        <v>93.49</v>
      </c>
      <c r="E406" t="s">
        <v>1041</v>
      </c>
      <c r="F406" s="10">
        <v>2322.64</v>
      </c>
      <c r="G406">
        <f>Meter[[#This Row],[EstimatedLoss_RM]]/0.8</f>
        <v>2903.2999999999997</v>
      </c>
      <c r="H406" t="str" cm="1">
        <f t="array" ref="H406">_xlfn.IFS(C406&lt;=5, "0–5 years", C406&lt;=10, "6–10 years", C406&lt;=15, "11–15 years", C406&lt;=20, "16–20 years", TRUE, "21–25 years")</f>
        <v>16–20 years</v>
      </c>
    </row>
    <row r="407" spans="1:8" x14ac:dyDescent="0.3">
      <c r="A407" t="s">
        <v>1281</v>
      </c>
      <c r="B407" t="s">
        <v>40</v>
      </c>
      <c r="C407">
        <v>8</v>
      </c>
      <c r="D407" s="2">
        <v>93.48</v>
      </c>
      <c r="E407" t="s">
        <v>1045</v>
      </c>
      <c r="F407" s="11">
        <v>2335.1</v>
      </c>
      <c r="G407">
        <f>Meter[[#This Row],[EstimatedLoss_RM]]/0.8</f>
        <v>2918.8749999999995</v>
      </c>
      <c r="H407" t="str" cm="1">
        <f t="array" ref="H407">_xlfn.IFS(C407&lt;=5, "0–5 years", C407&lt;=10, "6–10 years", C407&lt;=15, "11–15 years", C407&lt;=20, "16–20 years", TRUE, "21–25 years")</f>
        <v>6–10 years</v>
      </c>
    </row>
    <row r="408" spans="1:8" x14ac:dyDescent="0.3">
      <c r="A408" t="s">
        <v>1485</v>
      </c>
      <c r="B408" t="s">
        <v>43</v>
      </c>
      <c r="C408">
        <v>1</v>
      </c>
      <c r="D408" s="9">
        <v>93.47</v>
      </c>
      <c r="E408" t="s">
        <v>1045</v>
      </c>
      <c r="F408" s="10">
        <v>2352.4699999999998</v>
      </c>
      <c r="G408">
        <f>Meter[[#This Row],[EstimatedLoss_RM]]/0.8</f>
        <v>2940.5874999999996</v>
      </c>
      <c r="H408" t="str" cm="1">
        <f t="array" ref="H408">_xlfn.IFS(C408&lt;=5, "0–5 years", C408&lt;=10, "6–10 years", C408&lt;=15, "11–15 years", C408&lt;=20, "16–20 years", TRUE, "21–25 years")</f>
        <v>0–5 years</v>
      </c>
    </row>
    <row r="409" spans="1:8" x14ac:dyDescent="0.3">
      <c r="A409" t="s">
        <v>1565</v>
      </c>
      <c r="B409" t="s">
        <v>41</v>
      </c>
      <c r="C409">
        <v>8</v>
      </c>
      <c r="D409" s="2">
        <v>93.47</v>
      </c>
      <c r="E409" t="s">
        <v>1043</v>
      </c>
      <c r="F409" s="11">
        <v>2353.02</v>
      </c>
      <c r="G409">
        <f>Meter[[#This Row],[EstimatedLoss_RM]]/0.8</f>
        <v>2941.2749999999996</v>
      </c>
      <c r="H409" t="str" cm="1">
        <f t="array" ref="H409">_xlfn.IFS(C409&lt;=5, "0–5 years", C409&lt;=10, "6–10 years", C409&lt;=15, "11–15 years", C409&lt;=20, "16–20 years", TRUE, "21–25 years")</f>
        <v>6–10 years</v>
      </c>
    </row>
    <row r="410" spans="1:8" x14ac:dyDescent="0.3">
      <c r="A410" t="s">
        <v>1225</v>
      </c>
      <c r="B410" t="s">
        <v>38</v>
      </c>
      <c r="C410">
        <v>6</v>
      </c>
      <c r="D410" s="9">
        <v>93.46</v>
      </c>
      <c r="E410" t="s">
        <v>1041</v>
      </c>
      <c r="F410" s="10">
        <v>2355.5300000000002</v>
      </c>
      <c r="G410">
        <f>Meter[[#This Row],[EstimatedLoss_RM]]/0.8</f>
        <v>2944.4124999999999</v>
      </c>
      <c r="H410" t="str" cm="1">
        <f t="array" ref="H410">_xlfn.IFS(C410&lt;=5, "0–5 years", C410&lt;=10, "6–10 years", C410&lt;=15, "11–15 years", C410&lt;=20, "16–20 years", TRUE, "21–25 years")</f>
        <v>6–10 years</v>
      </c>
    </row>
    <row r="411" spans="1:8" x14ac:dyDescent="0.3">
      <c r="A411" t="s">
        <v>1674</v>
      </c>
      <c r="B411" t="s">
        <v>44</v>
      </c>
      <c r="C411">
        <v>19</v>
      </c>
      <c r="D411" s="2">
        <v>93.46</v>
      </c>
      <c r="E411" t="s">
        <v>1045</v>
      </c>
      <c r="F411" s="11">
        <v>2355.31</v>
      </c>
      <c r="G411">
        <f>Meter[[#This Row],[EstimatedLoss_RM]]/0.8</f>
        <v>2944.1374999999998</v>
      </c>
      <c r="H411" t="str" cm="1">
        <f t="array" ref="H411">_xlfn.IFS(C411&lt;=5, "0–5 years", C411&lt;=10, "6–10 years", C411&lt;=15, "11–15 years", C411&lt;=20, "16–20 years", TRUE, "21–25 years")</f>
        <v>16–20 years</v>
      </c>
    </row>
    <row r="412" spans="1:8" x14ac:dyDescent="0.3">
      <c r="A412" t="s">
        <v>1298</v>
      </c>
      <c r="B412" t="s">
        <v>46</v>
      </c>
      <c r="C412">
        <v>9</v>
      </c>
      <c r="D412" s="9">
        <v>93.43</v>
      </c>
      <c r="E412" t="s">
        <v>1043</v>
      </c>
      <c r="F412" s="10">
        <v>2362.21</v>
      </c>
      <c r="G412">
        <f>Meter[[#This Row],[EstimatedLoss_RM]]/0.8</f>
        <v>2952.7624999999998</v>
      </c>
      <c r="H412" t="str" cm="1">
        <f t="array" ref="H412">_xlfn.IFS(C412&lt;=5, "0–5 years", C412&lt;=10, "6–10 years", C412&lt;=15, "11–15 years", C412&lt;=20, "16–20 years", TRUE, "21–25 years")</f>
        <v>6–10 years</v>
      </c>
    </row>
    <row r="413" spans="1:8" x14ac:dyDescent="0.3">
      <c r="A413" t="s">
        <v>1487</v>
      </c>
      <c r="B413" t="s">
        <v>43</v>
      </c>
      <c r="C413">
        <v>5</v>
      </c>
      <c r="D413" s="2">
        <v>93.39</v>
      </c>
      <c r="E413" t="s">
        <v>1041</v>
      </c>
      <c r="F413" s="11">
        <v>2368.36</v>
      </c>
      <c r="G413">
        <f>Meter[[#This Row],[EstimatedLoss_RM]]/0.8</f>
        <v>2960.45</v>
      </c>
      <c r="H413" t="str" cm="1">
        <f t="array" ref="H413">_xlfn.IFS(C413&lt;=5, "0–5 years", C413&lt;=10, "6–10 years", C413&lt;=15, "11–15 years", C413&lt;=20, "16–20 years", TRUE, "21–25 years")</f>
        <v>0–5 years</v>
      </c>
    </row>
    <row r="414" spans="1:8" x14ac:dyDescent="0.3">
      <c r="A414" t="s">
        <v>1764</v>
      </c>
      <c r="B414" t="s">
        <v>40</v>
      </c>
      <c r="C414">
        <v>3</v>
      </c>
      <c r="D414" s="9">
        <v>93.38</v>
      </c>
      <c r="E414" t="s">
        <v>1041</v>
      </c>
      <c r="F414" s="10">
        <v>2381.15</v>
      </c>
      <c r="G414">
        <f>Meter[[#This Row],[EstimatedLoss_RM]]/0.8</f>
        <v>2976.4375</v>
      </c>
      <c r="H414" t="str" cm="1">
        <f t="array" ref="H414">_xlfn.IFS(C414&lt;=5, "0–5 years", C414&lt;=10, "6–10 years", C414&lt;=15, "11–15 years", C414&lt;=20, "16–20 years", TRUE, "21–25 years")</f>
        <v>0–5 years</v>
      </c>
    </row>
    <row r="415" spans="1:8" x14ac:dyDescent="0.3">
      <c r="A415" t="s">
        <v>1300</v>
      </c>
      <c r="B415" t="s">
        <v>41</v>
      </c>
      <c r="C415">
        <v>8</v>
      </c>
      <c r="D415" s="2">
        <v>93.38</v>
      </c>
      <c r="E415" t="s">
        <v>1045</v>
      </c>
      <c r="F415" s="11">
        <v>2370.16</v>
      </c>
      <c r="G415">
        <f>Meter[[#This Row],[EstimatedLoss_RM]]/0.8</f>
        <v>2962.7</v>
      </c>
      <c r="H415" t="str" cm="1">
        <f t="array" ref="H415">_xlfn.IFS(C415&lt;=5, "0–5 years", C415&lt;=10, "6–10 years", C415&lt;=15, "11–15 years", C415&lt;=20, "16–20 years", TRUE, "21–25 years")</f>
        <v>6–10 years</v>
      </c>
    </row>
    <row r="416" spans="1:8" x14ac:dyDescent="0.3">
      <c r="A416" t="s">
        <v>1271</v>
      </c>
      <c r="B416" t="s">
        <v>48</v>
      </c>
      <c r="C416">
        <v>8</v>
      </c>
      <c r="D416" s="9">
        <v>93.37</v>
      </c>
      <c r="E416" t="s">
        <v>1043</v>
      </c>
      <c r="F416" s="10">
        <v>2386.67</v>
      </c>
      <c r="G416">
        <f>Meter[[#This Row],[EstimatedLoss_RM]]/0.8</f>
        <v>2983.3375000000001</v>
      </c>
      <c r="H416" t="str" cm="1">
        <f t="array" ref="H416">_xlfn.IFS(C416&lt;=5, "0–5 years", C416&lt;=10, "6–10 years", C416&lt;=15, "11–15 years", C416&lt;=20, "16–20 years", TRUE, "21–25 years")</f>
        <v>6–10 years</v>
      </c>
    </row>
    <row r="417" spans="1:8" x14ac:dyDescent="0.3">
      <c r="A417" t="s">
        <v>1284</v>
      </c>
      <c r="B417" t="s">
        <v>39</v>
      </c>
      <c r="C417">
        <v>11</v>
      </c>
      <c r="D417" s="2">
        <v>93.37</v>
      </c>
      <c r="E417" t="s">
        <v>1043</v>
      </c>
      <c r="F417" s="11">
        <v>2405.6</v>
      </c>
      <c r="G417">
        <f>Meter[[#This Row],[EstimatedLoss_RM]]/0.8</f>
        <v>3006.9999999999995</v>
      </c>
      <c r="H417" t="str" cm="1">
        <f t="array" ref="H417">_xlfn.IFS(C417&lt;=5, "0–5 years", C417&lt;=10, "6–10 years", C417&lt;=15, "11–15 years", C417&lt;=20, "16–20 years", TRUE, "21–25 years")</f>
        <v>11–15 years</v>
      </c>
    </row>
    <row r="418" spans="1:8" x14ac:dyDescent="0.3">
      <c r="A418" t="s">
        <v>1788</v>
      </c>
      <c r="B418" t="s">
        <v>45</v>
      </c>
      <c r="C418">
        <v>8</v>
      </c>
      <c r="D418" s="9">
        <v>93.35</v>
      </c>
      <c r="E418" t="s">
        <v>1045</v>
      </c>
      <c r="F418" s="10">
        <v>2407.4</v>
      </c>
      <c r="G418">
        <f>Meter[[#This Row],[EstimatedLoss_RM]]/0.8</f>
        <v>3009.25</v>
      </c>
      <c r="H418" t="str" cm="1">
        <f t="array" ref="H418">_xlfn.IFS(C418&lt;=5, "0–5 years", C418&lt;=10, "6–10 years", C418&lt;=15, "11–15 years", C418&lt;=20, "16–20 years", TRUE, "21–25 years")</f>
        <v>6–10 years</v>
      </c>
    </row>
    <row r="419" spans="1:8" x14ac:dyDescent="0.3">
      <c r="A419" t="s">
        <v>1426</v>
      </c>
      <c r="B419" t="s">
        <v>43</v>
      </c>
      <c r="C419">
        <v>9</v>
      </c>
      <c r="D419" s="2">
        <v>93.35</v>
      </c>
      <c r="E419" t="s">
        <v>1043</v>
      </c>
      <c r="F419" s="11">
        <v>2411.4</v>
      </c>
      <c r="G419">
        <f>Meter[[#This Row],[EstimatedLoss_RM]]/0.8</f>
        <v>3014.25</v>
      </c>
      <c r="H419" t="str" cm="1">
        <f t="array" ref="H419">_xlfn.IFS(C419&lt;=5, "0–5 years", C419&lt;=10, "6–10 years", C419&lt;=15, "11–15 years", C419&lt;=20, "16–20 years", TRUE, "21–25 years")</f>
        <v>6–10 years</v>
      </c>
    </row>
    <row r="420" spans="1:8" x14ac:dyDescent="0.3">
      <c r="A420" t="s">
        <v>1248</v>
      </c>
      <c r="B420" t="s">
        <v>43</v>
      </c>
      <c r="C420">
        <v>7</v>
      </c>
      <c r="D420" s="9">
        <v>93.32</v>
      </c>
      <c r="E420" t="s">
        <v>1043</v>
      </c>
      <c r="F420" s="10">
        <v>2428.81</v>
      </c>
      <c r="G420">
        <f>Meter[[#This Row],[EstimatedLoss_RM]]/0.8</f>
        <v>3036.0124999999998</v>
      </c>
      <c r="H420" t="str" cm="1">
        <f t="array" ref="H420">_xlfn.IFS(C420&lt;=5, "0–5 years", C420&lt;=10, "6–10 years", C420&lt;=15, "11–15 years", C420&lt;=20, "16–20 years", TRUE, "21–25 years")</f>
        <v>6–10 years</v>
      </c>
    </row>
    <row r="421" spans="1:8" x14ac:dyDescent="0.3">
      <c r="A421" t="s">
        <v>1901</v>
      </c>
      <c r="B421" t="s">
        <v>53</v>
      </c>
      <c r="C421">
        <v>9</v>
      </c>
      <c r="D421" s="2">
        <v>93.3</v>
      </c>
      <c r="E421" t="s">
        <v>1043</v>
      </c>
      <c r="F421" s="11">
        <v>2449.2800000000002</v>
      </c>
      <c r="G421">
        <f>Meter[[#This Row],[EstimatedLoss_RM]]/0.8</f>
        <v>3061.6</v>
      </c>
      <c r="H421" t="str" cm="1">
        <f t="array" ref="H421">_xlfn.IFS(C421&lt;=5, "0–5 years", C421&lt;=10, "6–10 years", C421&lt;=15, "11–15 years", C421&lt;=20, "16–20 years", TRUE, "21–25 years")</f>
        <v>6–10 years</v>
      </c>
    </row>
    <row r="422" spans="1:8" x14ac:dyDescent="0.3">
      <c r="A422" t="s">
        <v>1256</v>
      </c>
      <c r="B422" t="s">
        <v>49</v>
      </c>
      <c r="C422">
        <v>15</v>
      </c>
      <c r="D422" s="9">
        <v>93.3</v>
      </c>
      <c r="E422" t="s">
        <v>1041</v>
      </c>
      <c r="F422" s="10">
        <v>2432.48</v>
      </c>
      <c r="G422">
        <f>Meter[[#This Row],[EstimatedLoss_RM]]/0.8</f>
        <v>3040.6</v>
      </c>
      <c r="H422" t="str" cm="1">
        <f t="array" ref="H422">_xlfn.IFS(C422&lt;=5, "0–5 years", C422&lt;=10, "6–10 years", C422&lt;=15, "11–15 years", C422&lt;=20, "16–20 years", TRUE, "21–25 years")</f>
        <v>11–15 years</v>
      </c>
    </row>
    <row r="423" spans="1:8" x14ac:dyDescent="0.3">
      <c r="A423" t="s">
        <v>1044</v>
      </c>
      <c r="B423" t="s">
        <v>41</v>
      </c>
      <c r="C423">
        <v>15</v>
      </c>
      <c r="D423" s="2">
        <v>93.3</v>
      </c>
      <c r="E423" t="s">
        <v>1045</v>
      </c>
      <c r="F423" s="11">
        <v>2443.96</v>
      </c>
      <c r="G423">
        <f>Meter[[#This Row],[EstimatedLoss_RM]]/0.8</f>
        <v>3054.95</v>
      </c>
      <c r="H423" t="str" cm="1">
        <f t="array" ref="H423">_xlfn.IFS(C423&lt;=5, "0–5 years", C423&lt;=10, "6–10 years", C423&lt;=15, "11–15 years", C423&lt;=20, "16–20 years", TRUE, "21–25 years")</f>
        <v>11–15 years</v>
      </c>
    </row>
    <row r="424" spans="1:8" x14ac:dyDescent="0.3">
      <c r="A424" t="s">
        <v>1902</v>
      </c>
      <c r="B424" t="s">
        <v>52</v>
      </c>
      <c r="C424">
        <v>15</v>
      </c>
      <c r="D424" s="9">
        <v>93.27</v>
      </c>
      <c r="E424" t="s">
        <v>1045</v>
      </c>
      <c r="F424" s="10">
        <v>2452.85</v>
      </c>
      <c r="G424">
        <f>Meter[[#This Row],[EstimatedLoss_RM]]/0.8</f>
        <v>3066.0624999999995</v>
      </c>
      <c r="H424" t="str" cm="1">
        <f t="array" ref="H424">_xlfn.IFS(C424&lt;=5, "0–5 years", C424&lt;=10, "6–10 years", C424&lt;=15, "11–15 years", C424&lt;=20, "16–20 years", TRUE, "21–25 years")</f>
        <v>11–15 years</v>
      </c>
    </row>
    <row r="425" spans="1:8" x14ac:dyDescent="0.3">
      <c r="A425" t="s">
        <v>1309</v>
      </c>
      <c r="B425" t="s">
        <v>42</v>
      </c>
      <c r="C425">
        <v>20</v>
      </c>
      <c r="D425" s="2">
        <v>93.26</v>
      </c>
      <c r="E425" t="s">
        <v>1045</v>
      </c>
      <c r="F425" s="11">
        <v>2458.2399999999998</v>
      </c>
      <c r="G425">
        <f>Meter[[#This Row],[EstimatedLoss_RM]]/0.8</f>
        <v>3072.7999999999997</v>
      </c>
      <c r="H425" t="str" cm="1">
        <f t="array" ref="H425">_xlfn.IFS(C425&lt;=5, "0–5 years", C425&lt;=10, "6–10 years", C425&lt;=15, "11–15 years", C425&lt;=20, "16–20 years", TRUE, "21–25 years")</f>
        <v>16–20 years</v>
      </c>
    </row>
    <row r="426" spans="1:8" x14ac:dyDescent="0.3">
      <c r="A426" t="s">
        <v>1077</v>
      </c>
      <c r="B426" t="s">
        <v>49</v>
      </c>
      <c r="C426">
        <v>16</v>
      </c>
      <c r="D426" s="9">
        <v>93.25</v>
      </c>
      <c r="E426" t="s">
        <v>1043</v>
      </c>
      <c r="F426" s="10">
        <v>2476.83</v>
      </c>
      <c r="G426">
        <f>Meter[[#This Row],[EstimatedLoss_RM]]/0.8</f>
        <v>3096.0374999999999</v>
      </c>
      <c r="H426" t="str" cm="1">
        <f t="array" ref="H426">_xlfn.IFS(C426&lt;=5, "0–5 years", C426&lt;=10, "6–10 years", C426&lt;=15, "11–15 years", C426&lt;=20, "16–20 years", TRUE, "21–25 years")</f>
        <v>16–20 years</v>
      </c>
    </row>
    <row r="427" spans="1:8" x14ac:dyDescent="0.3">
      <c r="A427" t="s">
        <v>1157</v>
      </c>
      <c r="B427" t="s">
        <v>39</v>
      </c>
      <c r="C427">
        <v>11</v>
      </c>
      <c r="D427" s="2">
        <v>93.22</v>
      </c>
      <c r="E427" t="s">
        <v>1045</v>
      </c>
      <c r="F427" s="11">
        <v>2479.34</v>
      </c>
      <c r="G427">
        <f>Meter[[#This Row],[EstimatedLoss_RM]]/0.8</f>
        <v>3099.1750000000002</v>
      </c>
      <c r="H427" t="str" cm="1">
        <f t="array" ref="H427">_xlfn.IFS(C427&lt;=5, "0–5 years", C427&lt;=10, "6–10 years", C427&lt;=15, "11–15 years", C427&lt;=20, "16–20 years", TRUE, "21–25 years")</f>
        <v>11–15 years</v>
      </c>
    </row>
    <row r="428" spans="1:8" x14ac:dyDescent="0.3">
      <c r="A428" t="s">
        <v>1903</v>
      </c>
      <c r="B428" t="s">
        <v>48</v>
      </c>
      <c r="C428">
        <v>13</v>
      </c>
      <c r="D428" s="9">
        <v>93.21</v>
      </c>
      <c r="E428" t="s">
        <v>1043</v>
      </c>
      <c r="F428" s="10">
        <v>2488.29</v>
      </c>
      <c r="G428">
        <f>Meter[[#This Row],[EstimatedLoss_RM]]/0.8</f>
        <v>3110.3624999999997</v>
      </c>
      <c r="H428" t="str" cm="1">
        <f t="array" ref="H428">_xlfn.IFS(C428&lt;=5, "0–5 years", C428&lt;=10, "6–10 years", C428&lt;=15, "11–15 years", C428&lt;=20, "16–20 years", TRUE, "21–25 years")</f>
        <v>11–15 years</v>
      </c>
    </row>
    <row r="429" spans="1:8" x14ac:dyDescent="0.3">
      <c r="A429" t="s">
        <v>1146</v>
      </c>
      <c r="B429" t="s">
        <v>49</v>
      </c>
      <c r="C429">
        <v>8</v>
      </c>
      <c r="D429" s="2">
        <v>93.2</v>
      </c>
      <c r="E429" t="s">
        <v>1041</v>
      </c>
      <c r="F429" s="11">
        <v>2496.4499999999998</v>
      </c>
      <c r="G429">
        <f>Meter[[#This Row],[EstimatedLoss_RM]]/0.8</f>
        <v>3120.5624999999995</v>
      </c>
      <c r="H429" t="str" cm="1">
        <f t="array" ref="H429">_xlfn.IFS(C429&lt;=5, "0–5 years", C429&lt;=10, "6–10 years", C429&lt;=15, "11–15 years", C429&lt;=20, "16–20 years", TRUE, "21–25 years")</f>
        <v>6–10 years</v>
      </c>
    </row>
    <row r="430" spans="1:8" x14ac:dyDescent="0.3">
      <c r="A430" t="s">
        <v>1424</v>
      </c>
      <c r="B430" t="s">
        <v>41</v>
      </c>
      <c r="C430">
        <v>9</v>
      </c>
      <c r="D430" s="9">
        <v>93.2</v>
      </c>
      <c r="E430" t="s">
        <v>1041</v>
      </c>
      <c r="F430" s="10">
        <v>2492.54</v>
      </c>
      <c r="G430">
        <f>Meter[[#This Row],[EstimatedLoss_RM]]/0.8</f>
        <v>3115.6749999999997</v>
      </c>
      <c r="H430" t="str" cm="1">
        <f t="array" ref="H430">_xlfn.IFS(C430&lt;=5, "0–5 years", C430&lt;=10, "6–10 years", C430&lt;=15, "11–15 years", C430&lt;=20, "16–20 years", TRUE, "21–25 years")</f>
        <v>6–10 years</v>
      </c>
    </row>
    <row r="431" spans="1:8" x14ac:dyDescent="0.3">
      <c r="A431" t="s">
        <v>1602</v>
      </c>
      <c r="B431" t="s">
        <v>38</v>
      </c>
      <c r="C431">
        <v>10</v>
      </c>
      <c r="D431" s="2">
        <v>93.16</v>
      </c>
      <c r="E431" t="s">
        <v>1041</v>
      </c>
      <c r="F431" s="11">
        <v>2503.29</v>
      </c>
      <c r="G431">
        <f>Meter[[#This Row],[EstimatedLoss_RM]]/0.8</f>
        <v>3129.1124999999997</v>
      </c>
      <c r="H431" t="str" cm="1">
        <f t="array" ref="H431">_xlfn.IFS(C431&lt;=5, "0–5 years", C431&lt;=10, "6–10 years", C431&lt;=15, "11–15 years", C431&lt;=20, "16–20 years", TRUE, "21–25 years")</f>
        <v>6–10 years</v>
      </c>
    </row>
    <row r="432" spans="1:8" x14ac:dyDescent="0.3">
      <c r="A432" t="s">
        <v>1616</v>
      </c>
      <c r="B432" t="s">
        <v>39</v>
      </c>
      <c r="C432">
        <v>11</v>
      </c>
      <c r="D432" s="9">
        <v>93.16</v>
      </c>
      <c r="E432" t="s">
        <v>1043</v>
      </c>
      <c r="F432" s="10">
        <v>2497.25</v>
      </c>
      <c r="G432">
        <f>Meter[[#This Row],[EstimatedLoss_RM]]/0.8</f>
        <v>3121.5625</v>
      </c>
      <c r="H432" t="str" cm="1">
        <f t="array" ref="H432">_xlfn.IFS(C432&lt;=5, "0–5 years", C432&lt;=10, "6–10 years", C432&lt;=15, "11–15 years", C432&lt;=20, "16–20 years", TRUE, "21–25 years")</f>
        <v>11–15 years</v>
      </c>
    </row>
    <row r="433" spans="1:8" x14ac:dyDescent="0.3">
      <c r="A433" t="s">
        <v>1279</v>
      </c>
      <c r="B433" t="s">
        <v>50</v>
      </c>
      <c r="C433">
        <v>2</v>
      </c>
      <c r="D433" s="2">
        <v>93.15</v>
      </c>
      <c r="E433" t="s">
        <v>1045</v>
      </c>
      <c r="F433" s="11">
        <v>2509.7600000000002</v>
      </c>
      <c r="G433">
        <f>Meter[[#This Row],[EstimatedLoss_RM]]/0.8</f>
        <v>3137.2000000000003</v>
      </c>
      <c r="H433" t="str" cm="1">
        <f t="array" ref="H433">_xlfn.IFS(C433&lt;=5, "0–5 years", C433&lt;=10, "6–10 years", C433&lt;=15, "11–15 years", C433&lt;=20, "16–20 years", TRUE, "21–25 years")</f>
        <v>0–5 years</v>
      </c>
    </row>
    <row r="434" spans="1:8" x14ac:dyDescent="0.3">
      <c r="A434" t="s">
        <v>1227</v>
      </c>
      <c r="B434" t="s">
        <v>49</v>
      </c>
      <c r="C434">
        <v>11</v>
      </c>
      <c r="D434" s="9">
        <v>93.15</v>
      </c>
      <c r="E434" t="s">
        <v>1043</v>
      </c>
      <c r="F434" s="10">
        <v>2507.31</v>
      </c>
      <c r="G434">
        <f>Meter[[#This Row],[EstimatedLoss_RM]]/0.8</f>
        <v>3134.1374999999998</v>
      </c>
      <c r="H434" t="str" cm="1">
        <f t="array" ref="H434">_xlfn.IFS(C434&lt;=5, "0–5 years", C434&lt;=10, "6–10 years", C434&lt;=15, "11–15 years", C434&lt;=20, "16–20 years", TRUE, "21–25 years")</f>
        <v>11–15 years</v>
      </c>
    </row>
    <row r="435" spans="1:8" x14ac:dyDescent="0.3">
      <c r="A435" t="s">
        <v>1854</v>
      </c>
      <c r="B435" t="s">
        <v>42</v>
      </c>
      <c r="C435">
        <v>10</v>
      </c>
      <c r="D435" s="2">
        <v>93.12</v>
      </c>
      <c r="E435" t="s">
        <v>1041</v>
      </c>
      <c r="F435" s="11">
        <v>2515.14</v>
      </c>
      <c r="G435">
        <f>Meter[[#This Row],[EstimatedLoss_RM]]/0.8</f>
        <v>3143.9249999999997</v>
      </c>
      <c r="H435" t="str" cm="1">
        <f t="array" ref="H435">_xlfn.IFS(C435&lt;=5, "0–5 years", C435&lt;=10, "6–10 years", C435&lt;=15, "11–15 years", C435&lt;=20, "16–20 years", TRUE, "21–25 years")</f>
        <v>6–10 years</v>
      </c>
    </row>
    <row r="436" spans="1:8" x14ac:dyDescent="0.3">
      <c r="A436" t="s">
        <v>1255</v>
      </c>
      <c r="B436" t="s">
        <v>48</v>
      </c>
      <c r="C436">
        <v>17</v>
      </c>
      <c r="D436" s="9">
        <v>93.11</v>
      </c>
      <c r="E436" t="s">
        <v>1041</v>
      </c>
      <c r="F436" s="10">
        <v>2520.1799999999998</v>
      </c>
      <c r="G436">
        <f>Meter[[#This Row],[EstimatedLoss_RM]]/0.8</f>
        <v>3150.2249999999995</v>
      </c>
      <c r="H436" t="str" cm="1">
        <f t="array" ref="H436">_xlfn.IFS(C436&lt;=5, "0–5 years", C436&lt;=10, "6–10 years", C436&lt;=15, "11–15 years", C436&lt;=20, "16–20 years", TRUE, "21–25 years")</f>
        <v>16–20 years</v>
      </c>
    </row>
    <row r="437" spans="1:8" x14ac:dyDescent="0.3">
      <c r="A437" t="s">
        <v>1494</v>
      </c>
      <c r="B437" t="s">
        <v>44</v>
      </c>
      <c r="C437">
        <v>17</v>
      </c>
      <c r="D437" s="2">
        <v>93.11</v>
      </c>
      <c r="E437" t="s">
        <v>1045</v>
      </c>
      <c r="F437" s="11">
        <v>2525.06</v>
      </c>
      <c r="G437">
        <f>Meter[[#This Row],[EstimatedLoss_RM]]/0.8</f>
        <v>3156.3249999999998</v>
      </c>
      <c r="H437" t="str" cm="1">
        <f t="array" ref="H437">_xlfn.IFS(C437&lt;=5, "0–5 years", C437&lt;=10, "6–10 years", C437&lt;=15, "11–15 years", C437&lt;=20, "16–20 years", TRUE, "21–25 years")</f>
        <v>16–20 years</v>
      </c>
    </row>
    <row r="438" spans="1:8" x14ac:dyDescent="0.3">
      <c r="A438" t="s">
        <v>1636</v>
      </c>
      <c r="B438" t="s">
        <v>40</v>
      </c>
      <c r="C438">
        <v>14</v>
      </c>
      <c r="D438" s="9">
        <v>93.07</v>
      </c>
      <c r="E438" t="s">
        <v>1045</v>
      </c>
      <c r="F438" s="10">
        <v>2532.37</v>
      </c>
      <c r="G438">
        <f>Meter[[#This Row],[EstimatedLoss_RM]]/0.8</f>
        <v>3165.4624999999996</v>
      </c>
      <c r="H438" t="str" cm="1">
        <f t="array" ref="H438">_xlfn.IFS(C438&lt;=5, "0–5 years", C438&lt;=10, "6–10 years", C438&lt;=15, "11–15 years", C438&lt;=20, "16–20 years", TRUE, "21–25 years")</f>
        <v>11–15 years</v>
      </c>
    </row>
    <row r="439" spans="1:8" x14ac:dyDescent="0.3">
      <c r="A439" t="s">
        <v>1401</v>
      </c>
      <c r="B439" t="s">
        <v>49</v>
      </c>
      <c r="C439">
        <v>14</v>
      </c>
      <c r="D439" s="2">
        <v>93.05</v>
      </c>
      <c r="E439" t="s">
        <v>1043</v>
      </c>
      <c r="F439" s="11">
        <v>2537.0500000000002</v>
      </c>
      <c r="G439">
        <f>Meter[[#This Row],[EstimatedLoss_RM]]/0.8</f>
        <v>3171.3125</v>
      </c>
      <c r="H439" t="str" cm="1">
        <f t="array" ref="H439">_xlfn.IFS(C439&lt;=5, "0–5 years", C439&lt;=10, "6–10 years", C439&lt;=15, "11–15 years", C439&lt;=20, "16–20 years", TRUE, "21–25 years")</f>
        <v>11–15 years</v>
      </c>
    </row>
    <row r="440" spans="1:8" x14ac:dyDescent="0.3">
      <c r="A440" t="s">
        <v>1191</v>
      </c>
      <c r="B440" t="s">
        <v>47</v>
      </c>
      <c r="C440">
        <v>15</v>
      </c>
      <c r="D440" s="9">
        <v>93.04</v>
      </c>
      <c r="E440" t="s">
        <v>1045</v>
      </c>
      <c r="F440" s="10">
        <v>2540.65</v>
      </c>
      <c r="G440">
        <f>Meter[[#This Row],[EstimatedLoss_RM]]/0.8</f>
        <v>3175.8125</v>
      </c>
      <c r="H440" t="str" cm="1">
        <f t="array" ref="H440">_xlfn.IFS(C440&lt;=5, "0–5 years", C440&lt;=10, "6–10 years", C440&lt;=15, "11–15 years", C440&lt;=20, "16–20 years", TRUE, "21–25 years")</f>
        <v>11–15 years</v>
      </c>
    </row>
    <row r="441" spans="1:8" x14ac:dyDescent="0.3">
      <c r="A441" t="s">
        <v>1460</v>
      </c>
      <c r="B441" t="s">
        <v>41</v>
      </c>
      <c r="C441">
        <v>13</v>
      </c>
      <c r="D441" s="2">
        <v>93.03</v>
      </c>
      <c r="E441" t="s">
        <v>1045</v>
      </c>
      <c r="F441" s="11">
        <v>2544.54</v>
      </c>
      <c r="G441">
        <f>Meter[[#This Row],[EstimatedLoss_RM]]/0.8</f>
        <v>3180.6749999999997</v>
      </c>
      <c r="H441" t="str" cm="1">
        <f t="array" ref="H441">_xlfn.IFS(C441&lt;=5, "0–5 years", C441&lt;=10, "6–10 years", C441&lt;=15, "11–15 years", C441&lt;=20, "16–20 years", TRUE, "21–25 years")</f>
        <v>11–15 years</v>
      </c>
    </row>
    <row r="442" spans="1:8" x14ac:dyDescent="0.3">
      <c r="A442" t="s">
        <v>1673</v>
      </c>
      <c r="B442" t="s">
        <v>38</v>
      </c>
      <c r="C442">
        <v>4</v>
      </c>
      <c r="D442" s="9">
        <v>93.02</v>
      </c>
      <c r="E442" t="s">
        <v>1043</v>
      </c>
      <c r="F442" s="10">
        <v>2546.71</v>
      </c>
      <c r="G442">
        <f>Meter[[#This Row],[EstimatedLoss_RM]]/0.8</f>
        <v>3183.3874999999998</v>
      </c>
      <c r="H442" t="str" cm="1">
        <f t="array" ref="H442">_xlfn.IFS(C442&lt;=5, "0–5 years", C442&lt;=10, "6–10 years", C442&lt;=15, "11–15 years", C442&lt;=20, "16–20 years", TRUE, "21–25 years")</f>
        <v>0–5 years</v>
      </c>
    </row>
    <row r="443" spans="1:8" x14ac:dyDescent="0.3">
      <c r="A443" t="s">
        <v>1813</v>
      </c>
      <c r="B443" t="s">
        <v>39</v>
      </c>
      <c r="C443">
        <v>16</v>
      </c>
      <c r="D443" s="2">
        <v>93.02</v>
      </c>
      <c r="E443" t="s">
        <v>1045</v>
      </c>
      <c r="F443" s="11">
        <v>2556.2399999999998</v>
      </c>
      <c r="G443">
        <f>Meter[[#This Row],[EstimatedLoss_RM]]/0.8</f>
        <v>3195.2999999999997</v>
      </c>
      <c r="H443" t="str" cm="1">
        <f t="array" ref="H443">_xlfn.IFS(C443&lt;=5, "0–5 years", C443&lt;=10, "6–10 years", C443&lt;=15, "11–15 years", C443&lt;=20, "16–20 years", TRUE, "21–25 years")</f>
        <v>16–20 years</v>
      </c>
    </row>
    <row r="444" spans="1:8" x14ac:dyDescent="0.3">
      <c r="A444" t="s">
        <v>1561</v>
      </c>
      <c r="B444" t="s">
        <v>44</v>
      </c>
      <c r="C444">
        <v>13</v>
      </c>
      <c r="D444" s="9">
        <v>93</v>
      </c>
      <c r="E444" t="s">
        <v>1041</v>
      </c>
      <c r="F444" s="10">
        <v>2559.38</v>
      </c>
      <c r="G444">
        <f>Meter[[#This Row],[EstimatedLoss_RM]]/0.8</f>
        <v>3199.2249999999999</v>
      </c>
      <c r="H444" t="str" cm="1">
        <f t="array" ref="H444">_xlfn.IFS(C444&lt;=5, "0–5 years", C444&lt;=10, "6–10 years", C444&lt;=15, "11–15 years", C444&lt;=20, "16–20 years", TRUE, "21–25 years")</f>
        <v>11–15 years</v>
      </c>
    </row>
    <row r="445" spans="1:8" x14ac:dyDescent="0.3">
      <c r="A445" t="s">
        <v>1776</v>
      </c>
      <c r="B445" t="s">
        <v>38</v>
      </c>
      <c r="C445">
        <v>4</v>
      </c>
      <c r="D445" s="2">
        <v>92.99</v>
      </c>
      <c r="E445" t="s">
        <v>1041</v>
      </c>
      <c r="F445" s="11">
        <v>2561.6999999999998</v>
      </c>
      <c r="G445">
        <f>Meter[[#This Row],[EstimatedLoss_RM]]/0.8</f>
        <v>3202.1249999999995</v>
      </c>
      <c r="H445" t="str" cm="1">
        <f t="array" ref="H445">_xlfn.IFS(C445&lt;=5, "0–5 years", C445&lt;=10, "6–10 years", C445&lt;=15, "11–15 years", C445&lt;=20, "16–20 years", TRUE, "21–25 years")</f>
        <v>0–5 years</v>
      </c>
    </row>
    <row r="446" spans="1:8" x14ac:dyDescent="0.3">
      <c r="A446" t="s">
        <v>1040</v>
      </c>
      <c r="B446" t="s">
        <v>42</v>
      </c>
      <c r="C446">
        <v>15</v>
      </c>
      <c r="D446" s="9">
        <v>92.99</v>
      </c>
      <c r="E446" t="s">
        <v>1041</v>
      </c>
      <c r="F446" s="10">
        <v>2567.34</v>
      </c>
      <c r="G446">
        <f>Meter[[#This Row],[EstimatedLoss_RM]]/0.8</f>
        <v>3209.1750000000002</v>
      </c>
      <c r="H446" t="str" cm="1">
        <f t="array" ref="H446">_xlfn.IFS(C446&lt;=5, "0–5 years", C446&lt;=10, "6–10 years", C446&lt;=15, "11–15 years", C446&lt;=20, "16–20 years", TRUE, "21–25 years")</f>
        <v>11–15 years</v>
      </c>
    </row>
    <row r="447" spans="1:8" x14ac:dyDescent="0.3">
      <c r="A447" t="s">
        <v>1366</v>
      </c>
      <c r="B447" t="s">
        <v>47</v>
      </c>
      <c r="C447">
        <v>23</v>
      </c>
      <c r="D447" s="2">
        <v>92.98</v>
      </c>
      <c r="E447" t="s">
        <v>1045</v>
      </c>
      <c r="F447" s="11">
        <v>2576.7199999999998</v>
      </c>
      <c r="G447">
        <f>Meter[[#This Row],[EstimatedLoss_RM]]/0.8</f>
        <v>3220.8999999999996</v>
      </c>
      <c r="H447" t="str" cm="1">
        <f t="array" ref="H447">_xlfn.IFS(C447&lt;=5, "0–5 years", C447&lt;=10, "6–10 years", C447&lt;=15, "11–15 years", C447&lt;=20, "16–20 years", TRUE, "21–25 years")</f>
        <v>21–25 years</v>
      </c>
    </row>
    <row r="448" spans="1:8" x14ac:dyDescent="0.3">
      <c r="A448" t="s">
        <v>1198</v>
      </c>
      <c r="B448" t="s">
        <v>49</v>
      </c>
      <c r="C448">
        <v>9</v>
      </c>
      <c r="D448" s="9">
        <v>92.97</v>
      </c>
      <c r="E448" t="s">
        <v>1041</v>
      </c>
      <c r="F448" s="10">
        <v>2586.19</v>
      </c>
      <c r="G448">
        <f>Meter[[#This Row],[EstimatedLoss_RM]]/0.8</f>
        <v>3232.7374999999997</v>
      </c>
      <c r="H448" t="str" cm="1">
        <f t="array" ref="H448">_xlfn.IFS(C448&lt;=5, "0–5 years", C448&lt;=10, "6–10 years", C448&lt;=15, "11–15 years", C448&lt;=20, "16–20 years", TRUE, "21–25 years")</f>
        <v>6–10 years</v>
      </c>
    </row>
    <row r="449" spans="1:8" x14ac:dyDescent="0.3">
      <c r="A449" t="s">
        <v>1297</v>
      </c>
      <c r="B449" t="s">
        <v>46</v>
      </c>
      <c r="C449">
        <v>5</v>
      </c>
      <c r="D449" s="2">
        <v>92.96</v>
      </c>
      <c r="E449" t="s">
        <v>1041</v>
      </c>
      <c r="F449" s="11">
        <v>2588.65</v>
      </c>
      <c r="G449">
        <f>Meter[[#This Row],[EstimatedLoss_RM]]/0.8</f>
        <v>3235.8125</v>
      </c>
      <c r="H449" t="str" cm="1">
        <f t="array" ref="H449">_xlfn.IFS(C449&lt;=5, "0–5 years", C449&lt;=10, "6–10 years", C449&lt;=15, "11–15 years", C449&lt;=20, "16–20 years", TRUE, "21–25 years")</f>
        <v>0–5 years</v>
      </c>
    </row>
    <row r="450" spans="1:8" x14ac:dyDescent="0.3">
      <c r="A450" t="s">
        <v>1380</v>
      </c>
      <c r="B450" t="s">
        <v>48</v>
      </c>
      <c r="C450">
        <v>11</v>
      </c>
      <c r="D450" s="9">
        <v>92.96</v>
      </c>
      <c r="E450" t="s">
        <v>1045</v>
      </c>
      <c r="F450" s="10">
        <v>2589.69</v>
      </c>
      <c r="G450">
        <f>Meter[[#This Row],[EstimatedLoss_RM]]/0.8</f>
        <v>3237.1124999999997</v>
      </c>
      <c r="H450" t="str" cm="1">
        <f t="array" ref="H450">_xlfn.IFS(C450&lt;=5, "0–5 years", C450&lt;=10, "6–10 years", C450&lt;=15, "11–15 years", C450&lt;=20, "16–20 years", TRUE, "21–25 years")</f>
        <v>11–15 years</v>
      </c>
    </row>
    <row r="451" spans="1:8" x14ac:dyDescent="0.3">
      <c r="A451" t="s">
        <v>1180</v>
      </c>
      <c r="B451" t="s">
        <v>39</v>
      </c>
      <c r="C451">
        <v>11</v>
      </c>
      <c r="D451" s="2">
        <v>92.96</v>
      </c>
      <c r="E451" t="s">
        <v>1041</v>
      </c>
      <c r="F451" s="11">
        <v>2601.9299999999998</v>
      </c>
      <c r="G451">
        <f>Meter[[#This Row],[EstimatedLoss_RM]]/0.8</f>
        <v>3252.4124999999995</v>
      </c>
      <c r="H451" t="str" cm="1">
        <f t="array" ref="H451">_xlfn.IFS(C451&lt;=5, "0–5 years", C451&lt;=10, "6–10 years", C451&lt;=15, "11–15 years", C451&lt;=20, "16–20 years", TRUE, "21–25 years")</f>
        <v>11–15 years</v>
      </c>
    </row>
    <row r="452" spans="1:8" x14ac:dyDescent="0.3">
      <c r="A452" t="s">
        <v>1885</v>
      </c>
      <c r="B452" t="s">
        <v>43</v>
      </c>
      <c r="C452">
        <v>7</v>
      </c>
      <c r="D452" s="9">
        <v>92.95</v>
      </c>
      <c r="E452" t="s">
        <v>1041</v>
      </c>
      <c r="F452" s="10">
        <v>2606.37</v>
      </c>
      <c r="G452">
        <f>Meter[[#This Row],[EstimatedLoss_RM]]/0.8</f>
        <v>3257.9624999999996</v>
      </c>
      <c r="H452" t="str" cm="1">
        <f t="array" ref="H452">_xlfn.IFS(C452&lt;=5, "0–5 years", C452&lt;=10, "6–10 years", C452&lt;=15, "11–15 years", C452&lt;=20, "16–20 years", TRUE, "21–25 years")</f>
        <v>6–10 years</v>
      </c>
    </row>
    <row r="453" spans="1:8" x14ac:dyDescent="0.3">
      <c r="A453" t="s">
        <v>1606</v>
      </c>
      <c r="B453" t="s">
        <v>50</v>
      </c>
      <c r="C453">
        <v>11</v>
      </c>
      <c r="D453" s="2">
        <v>92.95</v>
      </c>
      <c r="E453" t="s">
        <v>1041</v>
      </c>
      <c r="F453" s="11">
        <v>2602.7600000000002</v>
      </c>
      <c r="G453">
        <f>Meter[[#This Row],[EstimatedLoss_RM]]/0.8</f>
        <v>3253.4500000000003</v>
      </c>
      <c r="H453" t="str" cm="1">
        <f t="array" ref="H453">_xlfn.IFS(C453&lt;=5, "0–5 years", C453&lt;=10, "6–10 years", C453&lt;=15, "11–15 years", C453&lt;=20, "16–20 years", TRUE, "21–25 years")</f>
        <v>11–15 years</v>
      </c>
    </row>
    <row r="454" spans="1:8" x14ac:dyDescent="0.3">
      <c r="A454" t="s">
        <v>1478</v>
      </c>
      <c r="B454" t="s">
        <v>42</v>
      </c>
      <c r="C454">
        <v>13</v>
      </c>
      <c r="D454" s="9">
        <v>92.95</v>
      </c>
      <c r="E454" t="s">
        <v>1043</v>
      </c>
      <c r="F454" s="10">
        <v>2605.84</v>
      </c>
      <c r="G454">
        <f>Meter[[#This Row],[EstimatedLoss_RM]]/0.8</f>
        <v>3257.3</v>
      </c>
      <c r="H454" t="str" cm="1">
        <f t="array" ref="H454">_xlfn.IFS(C454&lt;=5, "0–5 years", C454&lt;=10, "6–10 years", C454&lt;=15, "11–15 years", C454&lt;=20, "16–20 years", TRUE, "21–25 years")</f>
        <v>11–15 years</v>
      </c>
    </row>
    <row r="455" spans="1:8" x14ac:dyDescent="0.3">
      <c r="A455" t="s">
        <v>1626</v>
      </c>
      <c r="B455" t="s">
        <v>47</v>
      </c>
      <c r="C455">
        <v>24</v>
      </c>
      <c r="D455" s="2">
        <v>92.94</v>
      </c>
      <c r="E455" t="s">
        <v>1045</v>
      </c>
      <c r="F455" s="11">
        <v>2615.21</v>
      </c>
      <c r="G455">
        <f>Meter[[#This Row],[EstimatedLoss_RM]]/0.8</f>
        <v>3269.0124999999998</v>
      </c>
      <c r="H455" t="str" cm="1">
        <f t="array" ref="H455">_xlfn.IFS(C455&lt;=5, "0–5 years", C455&lt;=10, "6–10 years", C455&lt;=15, "11–15 years", C455&lt;=20, "16–20 years", TRUE, "21–25 years")</f>
        <v>21–25 years</v>
      </c>
    </row>
    <row r="456" spans="1:8" x14ac:dyDescent="0.3">
      <c r="A456" t="s">
        <v>1067</v>
      </c>
      <c r="B456" t="s">
        <v>50</v>
      </c>
      <c r="C456">
        <v>10</v>
      </c>
      <c r="D456" s="9">
        <v>92.91</v>
      </c>
      <c r="E456" t="s">
        <v>1045</v>
      </c>
      <c r="F456" s="10">
        <v>2626.69</v>
      </c>
      <c r="G456">
        <f>Meter[[#This Row],[EstimatedLoss_RM]]/0.8</f>
        <v>3283.3624999999997</v>
      </c>
      <c r="H456" t="str" cm="1">
        <f t="array" ref="H456">_xlfn.IFS(C456&lt;=5, "0–5 years", C456&lt;=10, "6–10 years", C456&lt;=15, "11–15 years", C456&lt;=20, "16–20 years", TRUE, "21–25 years")</f>
        <v>6–10 years</v>
      </c>
    </row>
    <row r="457" spans="1:8" x14ac:dyDescent="0.3">
      <c r="A457" t="s">
        <v>1145</v>
      </c>
      <c r="B457" t="s">
        <v>46</v>
      </c>
      <c r="C457">
        <v>11</v>
      </c>
      <c r="D457" s="2">
        <v>92.91</v>
      </c>
      <c r="E457" t="s">
        <v>1041</v>
      </c>
      <c r="F457" s="11">
        <v>2615.89</v>
      </c>
      <c r="G457">
        <f>Meter[[#This Row],[EstimatedLoss_RM]]/0.8</f>
        <v>3269.8624999999997</v>
      </c>
      <c r="H457" t="str" cm="1">
        <f t="array" ref="H457">_xlfn.IFS(C457&lt;=5, "0–5 years", C457&lt;=10, "6–10 years", C457&lt;=15, "11–15 years", C457&lt;=20, "16–20 years", TRUE, "21–25 years")</f>
        <v>11–15 years</v>
      </c>
    </row>
    <row r="458" spans="1:8" x14ac:dyDescent="0.3">
      <c r="A458" t="s">
        <v>1173</v>
      </c>
      <c r="B458" t="s">
        <v>52</v>
      </c>
      <c r="C458">
        <v>5</v>
      </c>
      <c r="D458" s="9">
        <v>92.9</v>
      </c>
      <c r="E458" t="s">
        <v>1041</v>
      </c>
      <c r="F458" s="10">
        <v>2628.71</v>
      </c>
      <c r="G458">
        <f>Meter[[#This Row],[EstimatedLoss_RM]]/0.8</f>
        <v>3285.8874999999998</v>
      </c>
      <c r="H458" t="str" cm="1">
        <f t="array" ref="H458">_xlfn.IFS(C458&lt;=5, "0–5 years", C458&lt;=10, "6–10 years", C458&lt;=15, "11–15 years", C458&lt;=20, "16–20 years", TRUE, "21–25 years")</f>
        <v>0–5 years</v>
      </c>
    </row>
    <row r="459" spans="1:8" x14ac:dyDescent="0.3">
      <c r="A459" t="s">
        <v>1570</v>
      </c>
      <c r="B459" t="s">
        <v>47</v>
      </c>
      <c r="C459">
        <v>13</v>
      </c>
      <c r="D459" s="2">
        <v>92.9</v>
      </c>
      <c r="E459" t="s">
        <v>1043</v>
      </c>
      <c r="F459" s="11">
        <v>2635.8</v>
      </c>
      <c r="G459">
        <f>Meter[[#This Row],[EstimatedLoss_RM]]/0.8</f>
        <v>3294.75</v>
      </c>
      <c r="H459" t="str" cm="1">
        <f t="array" ref="H459">_xlfn.IFS(C459&lt;=5, "0–5 years", C459&lt;=10, "6–10 years", C459&lt;=15, "11–15 years", C459&lt;=20, "16–20 years", TRUE, "21–25 years")</f>
        <v>11–15 years</v>
      </c>
    </row>
    <row r="460" spans="1:8" x14ac:dyDescent="0.3">
      <c r="A460" t="s">
        <v>1055</v>
      </c>
      <c r="B460" t="s">
        <v>40</v>
      </c>
      <c r="C460">
        <v>14</v>
      </c>
      <c r="D460" s="9">
        <v>92.88</v>
      </c>
      <c r="E460" t="s">
        <v>1041</v>
      </c>
      <c r="F460" s="10">
        <v>2647.59</v>
      </c>
      <c r="G460">
        <f>Meter[[#This Row],[EstimatedLoss_RM]]/0.8</f>
        <v>3309.4875000000002</v>
      </c>
      <c r="H460" t="str" cm="1">
        <f t="array" ref="H460">_xlfn.IFS(C460&lt;=5, "0–5 years", C460&lt;=10, "6–10 years", C460&lt;=15, "11–15 years", C460&lt;=20, "16–20 years", TRUE, "21–25 years")</f>
        <v>11–15 years</v>
      </c>
    </row>
    <row r="461" spans="1:8" x14ac:dyDescent="0.3">
      <c r="A461" t="s">
        <v>1504</v>
      </c>
      <c r="B461" t="s">
        <v>38</v>
      </c>
      <c r="C461">
        <v>13</v>
      </c>
      <c r="D461" s="2">
        <v>92.87</v>
      </c>
      <c r="E461" t="s">
        <v>1043</v>
      </c>
      <c r="F461" s="11">
        <v>2648.54</v>
      </c>
      <c r="G461">
        <f>Meter[[#This Row],[EstimatedLoss_RM]]/0.8</f>
        <v>3310.6749999999997</v>
      </c>
      <c r="H461" t="str" cm="1">
        <f t="array" ref="H461">_xlfn.IFS(C461&lt;=5, "0–5 years", C461&lt;=10, "6–10 years", C461&lt;=15, "11–15 years", C461&lt;=20, "16–20 years", TRUE, "21–25 years")</f>
        <v>11–15 years</v>
      </c>
    </row>
    <row r="462" spans="1:8" x14ac:dyDescent="0.3">
      <c r="A462" t="s">
        <v>1160</v>
      </c>
      <c r="B462" t="s">
        <v>48</v>
      </c>
      <c r="C462">
        <v>7</v>
      </c>
      <c r="D462" s="9">
        <v>92.86</v>
      </c>
      <c r="E462" t="s">
        <v>1045</v>
      </c>
      <c r="F462" s="10">
        <v>2650.65</v>
      </c>
      <c r="G462">
        <f>Meter[[#This Row],[EstimatedLoss_RM]]/0.8</f>
        <v>3313.3125</v>
      </c>
      <c r="H462" t="str" cm="1">
        <f t="array" ref="H462">_xlfn.IFS(C462&lt;=5, "0–5 years", C462&lt;=10, "6–10 years", C462&lt;=15, "11–15 years", C462&lt;=20, "16–20 years", TRUE, "21–25 years")</f>
        <v>6–10 years</v>
      </c>
    </row>
    <row r="463" spans="1:8" x14ac:dyDescent="0.3">
      <c r="A463" t="s">
        <v>1342</v>
      </c>
      <c r="B463" t="s">
        <v>50</v>
      </c>
      <c r="C463">
        <v>16</v>
      </c>
      <c r="D463" s="2">
        <v>92.86</v>
      </c>
      <c r="E463" t="s">
        <v>1043</v>
      </c>
      <c r="F463" s="11">
        <v>2658.84</v>
      </c>
      <c r="G463">
        <f>Meter[[#This Row],[EstimatedLoss_RM]]/0.8</f>
        <v>3323.55</v>
      </c>
      <c r="H463" t="str" cm="1">
        <f t="array" ref="H463">_xlfn.IFS(C463&lt;=5, "0–5 years", C463&lt;=10, "6–10 years", C463&lt;=15, "11–15 years", C463&lt;=20, "16–20 years", TRUE, "21–25 years")</f>
        <v>16–20 years</v>
      </c>
    </row>
    <row r="464" spans="1:8" x14ac:dyDescent="0.3">
      <c r="A464" t="s">
        <v>1355</v>
      </c>
      <c r="B464" t="s">
        <v>44</v>
      </c>
      <c r="C464">
        <v>17</v>
      </c>
      <c r="D464" s="9">
        <v>92.85</v>
      </c>
      <c r="E464" t="s">
        <v>1043</v>
      </c>
      <c r="F464" s="10">
        <v>2659.02</v>
      </c>
      <c r="G464">
        <f>Meter[[#This Row],[EstimatedLoss_RM]]/0.8</f>
        <v>3323.7749999999996</v>
      </c>
      <c r="H464" t="str" cm="1">
        <f t="array" ref="H464">_xlfn.IFS(C464&lt;=5, "0–5 years", C464&lt;=10, "6–10 years", C464&lt;=15, "11–15 years", C464&lt;=20, "16–20 years", TRUE, "21–25 years")</f>
        <v>16–20 years</v>
      </c>
    </row>
    <row r="465" spans="1:8" x14ac:dyDescent="0.3">
      <c r="A465" t="s">
        <v>1651</v>
      </c>
      <c r="B465" t="s">
        <v>49</v>
      </c>
      <c r="C465">
        <v>4</v>
      </c>
      <c r="D465" s="2">
        <v>92.84</v>
      </c>
      <c r="E465" t="s">
        <v>1041</v>
      </c>
      <c r="F465" s="11">
        <v>2659.27</v>
      </c>
      <c r="G465">
        <f>Meter[[#This Row],[EstimatedLoss_RM]]/0.8</f>
        <v>3324.0874999999996</v>
      </c>
      <c r="H465" t="str" cm="1">
        <f t="array" ref="H465">_xlfn.IFS(C465&lt;=5, "0–5 years", C465&lt;=10, "6–10 years", C465&lt;=15, "11–15 years", C465&lt;=20, "16–20 years", TRUE, "21–25 years")</f>
        <v>0–5 years</v>
      </c>
    </row>
    <row r="466" spans="1:8" x14ac:dyDescent="0.3">
      <c r="A466" t="s">
        <v>1699</v>
      </c>
      <c r="B466" t="s">
        <v>44</v>
      </c>
      <c r="C466">
        <v>13</v>
      </c>
      <c r="D466" s="9">
        <v>92.83</v>
      </c>
      <c r="E466" t="s">
        <v>1041</v>
      </c>
      <c r="F466" s="10">
        <v>2666.13</v>
      </c>
      <c r="G466">
        <f>Meter[[#This Row],[EstimatedLoss_RM]]/0.8</f>
        <v>3332.6624999999999</v>
      </c>
      <c r="H466" t="str" cm="1">
        <f t="array" ref="H466">_xlfn.IFS(C466&lt;=5, "0–5 years", C466&lt;=10, "6–10 years", C466&lt;=15, "11–15 years", C466&lt;=20, "16–20 years", TRUE, "21–25 years")</f>
        <v>11–15 years</v>
      </c>
    </row>
    <row r="467" spans="1:8" x14ac:dyDescent="0.3">
      <c r="A467" t="s">
        <v>1509</v>
      </c>
      <c r="B467" t="s">
        <v>45</v>
      </c>
      <c r="C467">
        <v>16</v>
      </c>
      <c r="D467" s="2">
        <v>92.83</v>
      </c>
      <c r="E467" t="s">
        <v>1043</v>
      </c>
      <c r="F467" s="11">
        <v>2665.66</v>
      </c>
      <c r="G467">
        <f>Meter[[#This Row],[EstimatedLoss_RM]]/0.8</f>
        <v>3332.0749999999998</v>
      </c>
      <c r="H467" t="str" cm="1">
        <f t="array" ref="H467">_xlfn.IFS(C467&lt;=5, "0–5 years", C467&lt;=10, "6–10 years", C467&lt;=15, "11–15 years", C467&lt;=20, "16–20 years", TRUE, "21–25 years")</f>
        <v>16–20 years</v>
      </c>
    </row>
    <row r="468" spans="1:8" x14ac:dyDescent="0.3">
      <c r="A468" t="s">
        <v>1346</v>
      </c>
      <c r="B468" t="s">
        <v>39</v>
      </c>
      <c r="C468">
        <v>16</v>
      </c>
      <c r="D468" s="9">
        <v>92.82</v>
      </c>
      <c r="E468" t="s">
        <v>1043</v>
      </c>
      <c r="F468" s="10">
        <v>2668.19</v>
      </c>
      <c r="G468">
        <f>Meter[[#This Row],[EstimatedLoss_RM]]/0.8</f>
        <v>3335.2374999999997</v>
      </c>
      <c r="H468" t="str" cm="1">
        <f t="array" ref="H468">_xlfn.IFS(C468&lt;=5, "0–5 years", C468&lt;=10, "6–10 years", C468&lt;=15, "11–15 years", C468&lt;=20, "16–20 years", TRUE, "21–25 years")</f>
        <v>16–20 years</v>
      </c>
    </row>
    <row r="469" spans="1:8" x14ac:dyDescent="0.3">
      <c r="A469" t="s">
        <v>1444</v>
      </c>
      <c r="B469" t="s">
        <v>45</v>
      </c>
      <c r="C469">
        <v>10</v>
      </c>
      <c r="D469" s="2">
        <v>92.8</v>
      </c>
      <c r="E469" t="s">
        <v>1045</v>
      </c>
      <c r="F469" s="11">
        <v>2673.54</v>
      </c>
      <c r="G469">
        <f>Meter[[#This Row],[EstimatedLoss_RM]]/0.8</f>
        <v>3341.9249999999997</v>
      </c>
      <c r="H469" t="str" cm="1">
        <f t="array" ref="H469">_xlfn.IFS(C469&lt;=5, "0–5 years", C469&lt;=10, "6–10 years", C469&lt;=15, "11–15 years", C469&lt;=20, "16–20 years", TRUE, "21–25 years")</f>
        <v>6–10 years</v>
      </c>
    </row>
    <row r="470" spans="1:8" x14ac:dyDescent="0.3">
      <c r="A470" t="s">
        <v>1701</v>
      </c>
      <c r="B470" t="s">
        <v>53</v>
      </c>
      <c r="C470">
        <v>14</v>
      </c>
      <c r="D470" s="9">
        <v>92.8</v>
      </c>
      <c r="E470" t="s">
        <v>1043</v>
      </c>
      <c r="F470" s="10">
        <v>2669.82</v>
      </c>
      <c r="G470">
        <f>Meter[[#This Row],[EstimatedLoss_RM]]/0.8</f>
        <v>3337.2750000000001</v>
      </c>
      <c r="H470" t="str" cm="1">
        <f t="array" ref="H470">_xlfn.IFS(C470&lt;=5, "0–5 years", C470&lt;=10, "6–10 years", C470&lt;=15, "11–15 years", C470&lt;=20, "16–20 years", TRUE, "21–25 years")</f>
        <v>11–15 years</v>
      </c>
    </row>
    <row r="471" spans="1:8" x14ac:dyDescent="0.3">
      <c r="A471" t="s">
        <v>1792</v>
      </c>
      <c r="B471" t="s">
        <v>46</v>
      </c>
      <c r="C471">
        <v>6</v>
      </c>
      <c r="D471" s="2">
        <v>92.79</v>
      </c>
      <c r="E471" t="s">
        <v>1043</v>
      </c>
      <c r="F471" s="11">
        <v>2676.82</v>
      </c>
      <c r="G471">
        <f>Meter[[#This Row],[EstimatedLoss_RM]]/0.8</f>
        <v>3346.0250000000001</v>
      </c>
      <c r="H471" t="str" cm="1">
        <f t="array" ref="H471">_xlfn.IFS(C471&lt;=5, "0–5 years", C471&lt;=10, "6–10 years", C471&lt;=15, "11–15 years", C471&lt;=20, "16–20 years", TRUE, "21–25 years")</f>
        <v>6–10 years</v>
      </c>
    </row>
    <row r="472" spans="1:8" x14ac:dyDescent="0.3">
      <c r="A472" t="s">
        <v>1922</v>
      </c>
      <c r="B472" t="s">
        <v>41</v>
      </c>
      <c r="C472">
        <v>19</v>
      </c>
      <c r="D472" s="9">
        <v>92.78</v>
      </c>
      <c r="E472" t="s">
        <v>1043</v>
      </c>
      <c r="F472" s="10">
        <v>2696.63</v>
      </c>
      <c r="G472">
        <f>Meter[[#This Row],[EstimatedLoss_RM]]/0.8</f>
        <v>3370.7874999999999</v>
      </c>
      <c r="H472" t="str" cm="1">
        <f t="array" ref="H472">_xlfn.IFS(C472&lt;=5, "0–5 years", C472&lt;=10, "6–10 years", C472&lt;=15, "11–15 years", C472&lt;=20, "16–20 years", TRUE, "21–25 years")</f>
        <v>16–20 years</v>
      </c>
    </row>
    <row r="473" spans="1:8" x14ac:dyDescent="0.3">
      <c r="A473" t="s">
        <v>1143</v>
      </c>
      <c r="B473" t="s">
        <v>40</v>
      </c>
      <c r="C473">
        <v>6</v>
      </c>
      <c r="D473" s="2">
        <v>92.77</v>
      </c>
      <c r="E473" t="s">
        <v>1043</v>
      </c>
      <c r="F473" s="11">
        <v>2705.96</v>
      </c>
      <c r="G473">
        <f>Meter[[#This Row],[EstimatedLoss_RM]]/0.8</f>
        <v>3382.45</v>
      </c>
      <c r="H473" t="str" cm="1">
        <f t="array" ref="H473">_xlfn.IFS(C473&lt;=5, "0–5 years", C473&lt;=10, "6–10 years", C473&lt;=15, "11–15 years", C473&lt;=20, "16–20 years", TRUE, "21–25 years")</f>
        <v>6–10 years</v>
      </c>
    </row>
    <row r="474" spans="1:8" x14ac:dyDescent="0.3">
      <c r="A474" t="s">
        <v>1392</v>
      </c>
      <c r="B474" t="s">
        <v>45</v>
      </c>
      <c r="C474">
        <v>12</v>
      </c>
      <c r="D474" s="9">
        <v>92.77</v>
      </c>
      <c r="E474" t="s">
        <v>1043</v>
      </c>
      <c r="F474" s="10">
        <v>2700.75</v>
      </c>
      <c r="G474">
        <f>Meter[[#This Row],[EstimatedLoss_RM]]/0.8</f>
        <v>3375.9375</v>
      </c>
      <c r="H474" t="str" cm="1">
        <f t="array" ref="H474">_xlfn.IFS(C474&lt;=5, "0–5 years", C474&lt;=10, "6–10 years", C474&lt;=15, "11–15 years", C474&lt;=20, "16–20 years", TRUE, "21–25 years")</f>
        <v>11–15 years</v>
      </c>
    </row>
    <row r="475" spans="1:8" x14ac:dyDescent="0.3">
      <c r="A475" t="s">
        <v>1347</v>
      </c>
      <c r="B475" t="s">
        <v>44</v>
      </c>
      <c r="C475">
        <v>13</v>
      </c>
      <c r="D475" s="2">
        <v>92.76</v>
      </c>
      <c r="E475" t="s">
        <v>1045</v>
      </c>
      <c r="F475" s="11">
        <v>2712.7</v>
      </c>
      <c r="G475">
        <f>Meter[[#This Row],[EstimatedLoss_RM]]/0.8</f>
        <v>3390.8749999999995</v>
      </c>
      <c r="H475" t="str" cm="1">
        <f t="array" ref="H475">_xlfn.IFS(C475&lt;=5, "0–5 years", C475&lt;=10, "6–10 years", C475&lt;=15, "11–15 years", C475&lt;=20, "16–20 years", TRUE, "21–25 years")</f>
        <v>11–15 years</v>
      </c>
    </row>
    <row r="476" spans="1:8" x14ac:dyDescent="0.3">
      <c r="A476" t="s">
        <v>1377</v>
      </c>
      <c r="B476" t="s">
        <v>46</v>
      </c>
      <c r="C476">
        <v>18</v>
      </c>
      <c r="D476" s="9">
        <v>92.75</v>
      </c>
      <c r="E476" t="s">
        <v>1041</v>
      </c>
      <c r="F476" s="10">
        <v>2714.78</v>
      </c>
      <c r="G476">
        <f>Meter[[#This Row],[EstimatedLoss_RM]]/0.8</f>
        <v>3393.4749999999999</v>
      </c>
      <c r="H476" t="str" cm="1">
        <f t="array" ref="H476">_xlfn.IFS(C476&lt;=5, "0–5 years", C476&lt;=10, "6–10 years", C476&lt;=15, "11–15 years", C476&lt;=20, "16–20 years", TRUE, "21–25 years")</f>
        <v>16–20 years</v>
      </c>
    </row>
    <row r="477" spans="1:8" x14ac:dyDescent="0.3">
      <c r="A477" t="s">
        <v>1705</v>
      </c>
      <c r="B477" t="s">
        <v>44</v>
      </c>
      <c r="C477">
        <v>13</v>
      </c>
      <c r="D477" s="2">
        <v>92.73</v>
      </c>
      <c r="E477" t="s">
        <v>1041</v>
      </c>
      <c r="F477" s="11">
        <v>2716.17</v>
      </c>
      <c r="G477">
        <f>Meter[[#This Row],[EstimatedLoss_RM]]/0.8</f>
        <v>3395.2125000000001</v>
      </c>
      <c r="H477" t="str" cm="1">
        <f t="array" ref="H477">_xlfn.IFS(C477&lt;=5, "0–5 years", C477&lt;=10, "6–10 years", C477&lt;=15, "11–15 years", C477&lt;=20, "16–20 years", TRUE, "21–25 years")</f>
        <v>11–15 years</v>
      </c>
    </row>
    <row r="478" spans="1:8" x14ac:dyDescent="0.3">
      <c r="A478" t="s">
        <v>1887</v>
      </c>
      <c r="B478" t="s">
        <v>48</v>
      </c>
      <c r="C478">
        <v>14</v>
      </c>
      <c r="D478" s="9">
        <v>92.73</v>
      </c>
      <c r="E478" t="s">
        <v>1045</v>
      </c>
      <c r="F478" s="10">
        <v>2715.99</v>
      </c>
      <c r="G478">
        <f>Meter[[#This Row],[EstimatedLoss_RM]]/0.8</f>
        <v>3394.9874999999997</v>
      </c>
      <c r="H478" t="str" cm="1">
        <f t="array" ref="H478">_xlfn.IFS(C478&lt;=5, "0–5 years", C478&lt;=10, "6–10 years", C478&lt;=15, "11–15 years", C478&lt;=20, "16–20 years", TRUE, "21–25 years")</f>
        <v>11–15 years</v>
      </c>
    </row>
    <row r="479" spans="1:8" x14ac:dyDescent="0.3">
      <c r="A479" t="s">
        <v>1243</v>
      </c>
      <c r="B479" t="s">
        <v>44</v>
      </c>
      <c r="C479">
        <v>15</v>
      </c>
      <c r="D479" s="2">
        <v>92.72</v>
      </c>
      <c r="E479" t="s">
        <v>1041</v>
      </c>
      <c r="F479" s="11">
        <v>2726.42</v>
      </c>
      <c r="G479">
        <f>Meter[[#This Row],[EstimatedLoss_RM]]/0.8</f>
        <v>3408.0250000000001</v>
      </c>
      <c r="H479" t="str" cm="1">
        <f t="array" ref="H479">_xlfn.IFS(C479&lt;=5, "0–5 years", C479&lt;=10, "6–10 years", C479&lt;=15, "11–15 years", C479&lt;=20, "16–20 years", TRUE, "21–25 years")</f>
        <v>11–15 years</v>
      </c>
    </row>
    <row r="480" spans="1:8" x14ac:dyDescent="0.3">
      <c r="A480" t="s">
        <v>1240</v>
      </c>
      <c r="B480" t="s">
        <v>47</v>
      </c>
      <c r="C480">
        <v>14</v>
      </c>
      <c r="D480" s="9">
        <v>92.71</v>
      </c>
      <c r="E480" t="s">
        <v>1045</v>
      </c>
      <c r="F480" s="10">
        <v>2738.16</v>
      </c>
      <c r="G480">
        <f>Meter[[#This Row],[EstimatedLoss_RM]]/0.8</f>
        <v>3422.7</v>
      </c>
      <c r="H480" t="str" cm="1">
        <f t="array" ref="H480">_xlfn.IFS(C480&lt;=5, "0–5 years", C480&lt;=10, "6–10 years", C480&lt;=15, "11–15 years", C480&lt;=20, "16–20 years", TRUE, "21–25 years")</f>
        <v>11–15 years</v>
      </c>
    </row>
    <row r="481" spans="1:8" x14ac:dyDescent="0.3">
      <c r="A481" t="s">
        <v>1750</v>
      </c>
      <c r="B481" t="s">
        <v>49</v>
      </c>
      <c r="C481">
        <v>22</v>
      </c>
      <c r="D481" s="2">
        <v>92.71</v>
      </c>
      <c r="E481" t="s">
        <v>1041</v>
      </c>
      <c r="F481" s="11">
        <v>2757.5</v>
      </c>
      <c r="G481">
        <f>Meter[[#This Row],[EstimatedLoss_RM]]/0.8</f>
        <v>3446.875</v>
      </c>
      <c r="H481" t="str" cm="1">
        <f t="array" ref="H481">_xlfn.IFS(C481&lt;=5, "0–5 years", C481&lt;=10, "6–10 years", C481&lt;=15, "11–15 years", C481&lt;=20, "16–20 years", TRUE, "21–25 years")</f>
        <v>21–25 years</v>
      </c>
    </row>
    <row r="482" spans="1:8" x14ac:dyDescent="0.3">
      <c r="A482" t="s">
        <v>1579</v>
      </c>
      <c r="B482" t="s">
        <v>46</v>
      </c>
      <c r="C482">
        <v>9</v>
      </c>
      <c r="D482" s="9">
        <v>92.68</v>
      </c>
      <c r="E482" t="s">
        <v>1045</v>
      </c>
      <c r="F482" s="10">
        <v>2758.15</v>
      </c>
      <c r="G482">
        <f>Meter[[#This Row],[EstimatedLoss_RM]]/0.8</f>
        <v>3447.6875</v>
      </c>
      <c r="H482" t="str" cm="1">
        <f t="array" ref="H482">_xlfn.IFS(C482&lt;=5, "0–5 years", C482&lt;=10, "6–10 years", C482&lt;=15, "11–15 years", C482&lt;=20, "16–20 years", TRUE, "21–25 years")</f>
        <v>6–10 years</v>
      </c>
    </row>
    <row r="483" spans="1:8" x14ac:dyDescent="0.3">
      <c r="A483" t="s">
        <v>1623</v>
      </c>
      <c r="B483" t="s">
        <v>38</v>
      </c>
      <c r="C483">
        <v>15</v>
      </c>
      <c r="D483" s="2">
        <v>92.68</v>
      </c>
      <c r="E483" t="s">
        <v>1043</v>
      </c>
      <c r="F483" s="11">
        <v>2757.79</v>
      </c>
      <c r="G483">
        <f>Meter[[#This Row],[EstimatedLoss_RM]]/0.8</f>
        <v>3447.2374999999997</v>
      </c>
      <c r="H483" t="str" cm="1">
        <f t="array" ref="H483">_xlfn.IFS(C483&lt;=5, "0–5 years", C483&lt;=10, "6–10 years", C483&lt;=15, "11–15 years", C483&lt;=20, "16–20 years", TRUE, "21–25 years")</f>
        <v>11–15 years</v>
      </c>
    </row>
    <row r="484" spans="1:8" x14ac:dyDescent="0.3">
      <c r="A484" t="s">
        <v>1264</v>
      </c>
      <c r="B484" t="s">
        <v>46</v>
      </c>
      <c r="C484">
        <v>4</v>
      </c>
      <c r="D484" s="9">
        <v>92.67</v>
      </c>
      <c r="E484" t="s">
        <v>1045</v>
      </c>
      <c r="F484" s="10">
        <v>2760.49</v>
      </c>
      <c r="G484">
        <f>Meter[[#This Row],[EstimatedLoss_RM]]/0.8</f>
        <v>3450.6124999999997</v>
      </c>
      <c r="H484" t="str" cm="1">
        <f t="array" ref="H484">_xlfn.IFS(C484&lt;=5, "0–5 years", C484&lt;=10, "6–10 years", C484&lt;=15, "11–15 years", C484&lt;=20, "16–20 years", TRUE, "21–25 years")</f>
        <v>0–5 years</v>
      </c>
    </row>
    <row r="485" spans="1:8" x14ac:dyDescent="0.3">
      <c r="A485" t="s">
        <v>1449</v>
      </c>
      <c r="B485" t="s">
        <v>45</v>
      </c>
      <c r="C485">
        <v>8</v>
      </c>
      <c r="D485" s="2">
        <v>92.66</v>
      </c>
      <c r="E485" t="s">
        <v>1041</v>
      </c>
      <c r="F485" s="11">
        <v>2766.27</v>
      </c>
      <c r="G485">
        <f>Meter[[#This Row],[EstimatedLoss_RM]]/0.8</f>
        <v>3457.8374999999996</v>
      </c>
      <c r="H485" t="str" cm="1">
        <f t="array" ref="H485">_xlfn.IFS(C485&lt;=5, "0–5 years", C485&lt;=10, "6–10 years", C485&lt;=15, "11–15 years", C485&lt;=20, "16–20 years", TRUE, "21–25 years")</f>
        <v>6–10 years</v>
      </c>
    </row>
    <row r="486" spans="1:8" x14ac:dyDescent="0.3">
      <c r="A486" t="s">
        <v>1850</v>
      </c>
      <c r="B486" t="s">
        <v>50</v>
      </c>
      <c r="C486">
        <v>11</v>
      </c>
      <c r="D486" s="9">
        <v>92.64</v>
      </c>
      <c r="E486" t="s">
        <v>1043</v>
      </c>
      <c r="F486" s="10">
        <v>2766.31</v>
      </c>
      <c r="G486">
        <f>Meter[[#This Row],[EstimatedLoss_RM]]/0.8</f>
        <v>3457.8874999999998</v>
      </c>
      <c r="H486" t="str" cm="1">
        <f t="array" ref="H486">_xlfn.IFS(C486&lt;=5, "0–5 years", C486&lt;=10, "6–10 years", C486&lt;=15, "11–15 years", C486&lt;=20, "16–20 years", TRUE, "21–25 years")</f>
        <v>11–15 years</v>
      </c>
    </row>
    <row r="487" spans="1:8" x14ac:dyDescent="0.3">
      <c r="A487" t="s">
        <v>1731</v>
      </c>
      <c r="B487" t="s">
        <v>39</v>
      </c>
      <c r="C487">
        <v>17</v>
      </c>
      <c r="D487" s="2">
        <v>92.62</v>
      </c>
      <c r="E487" t="s">
        <v>1041</v>
      </c>
      <c r="F487" s="11">
        <v>2767.19</v>
      </c>
      <c r="G487">
        <f>Meter[[#This Row],[EstimatedLoss_RM]]/0.8</f>
        <v>3458.9874999999997</v>
      </c>
      <c r="H487" t="str" cm="1">
        <f t="array" ref="H487">_xlfn.IFS(C487&lt;=5, "0–5 years", C487&lt;=10, "6–10 years", C487&lt;=15, "11–15 years", C487&lt;=20, "16–20 years", TRUE, "21–25 years")</f>
        <v>16–20 years</v>
      </c>
    </row>
    <row r="488" spans="1:8" x14ac:dyDescent="0.3">
      <c r="A488" t="s">
        <v>1496</v>
      </c>
      <c r="B488" t="s">
        <v>45</v>
      </c>
      <c r="C488">
        <v>16</v>
      </c>
      <c r="D488" s="9">
        <v>92.61</v>
      </c>
      <c r="E488" t="s">
        <v>1045</v>
      </c>
      <c r="F488" s="10">
        <v>2768.2</v>
      </c>
      <c r="G488">
        <f>Meter[[#This Row],[EstimatedLoss_RM]]/0.8</f>
        <v>3460.2499999999995</v>
      </c>
      <c r="H488" t="str" cm="1">
        <f t="array" ref="H488">_xlfn.IFS(C488&lt;=5, "0–5 years", C488&lt;=10, "6–10 years", C488&lt;=15, "11–15 years", C488&lt;=20, "16–20 years", TRUE, "21–25 years")</f>
        <v>16–20 years</v>
      </c>
    </row>
    <row r="489" spans="1:8" x14ac:dyDescent="0.3">
      <c r="A489" t="s">
        <v>1158</v>
      </c>
      <c r="B489" t="s">
        <v>43</v>
      </c>
      <c r="C489">
        <v>15</v>
      </c>
      <c r="D489" s="2">
        <v>92.6</v>
      </c>
      <c r="E489" t="s">
        <v>1043</v>
      </c>
      <c r="F489" s="11">
        <v>2768.47</v>
      </c>
      <c r="G489">
        <f>Meter[[#This Row],[EstimatedLoss_RM]]/0.8</f>
        <v>3460.5874999999996</v>
      </c>
      <c r="H489" t="str" cm="1">
        <f t="array" ref="H489">_xlfn.IFS(C489&lt;=5, "0–5 years", C489&lt;=10, "6–10 years", C489&lt;=15, "11–15 years", C489&lt;=20, "16–20 years", TRUE, "21–25 years")</f>
        <v>11–15 years</v>
      </c>
    </row>
    <row r="490" spans="1:8" x14ac:dyDescent="0.3">
      <c r="A490" t="s">
        <v>1686</v>
      </c>
      <c r="B490" t="s">
        <v>47</v>
      </c>
      <c r="C490">
        <v>6</v>
      </c>
      <c r="D490" s="9">
        <v>92.59</v>
      </c>
      <c r="E490" t="s">
        <v>1045</v>
      </c>
      <c r="F490" s="10">
        <v>2784.89</v>
      </c>
      <c r="G490">
        <f>Meter[[#This Row],[EstimatedLoss_RM]]/0.8</f>
        <v>3481.1124999999997</v>
      </c>
      <c r="H490" t="str" cm="1">
        <f t="array" ref="H490">_xlfn.IFS(C490&lt;=5, "0–5 years", C490&lt;=10, "6–10 years", C490&lt;=15, "11–15 years", C490&lt;=20, "16–20 years", TRUE, "21–25 years")</f>
        <v>6–10 years</v>
      </c>
    </row>
    <row r="491" spans="1:8" x14ac:dyDescent="0.3">
      <c r="A491" t="s">
        <v>1434</v>
      </c>
      <c r="B491" t="s">
        <v>39</v>
      </c>
      <c r="C491">
        <v>16</v>
      </c>
      <c r="D491" s="2">
        <v>92.58</v>
      </c>
      <c r="E491" t="s">
        <v>1043</v>
      </c>
      <c r="F491" s="11">
        <v>2785.08</v>
      </c>
      <c r="G491">
        <f>Meter[[#This Row],[EstimatedLoss_RM]]/0.8</f>
        <v>3481.35</v>
      </c>
      <c r="H491" t="str" cm="1">
        <f t="array" ref="H491">_xlfn.IFS(C491&lt;=5, "0–5 years", C491&lt;=10, "6–10 years", C491&lt;=15, "11–15 years", C491&lt;=20, "16–20 years", TRUE, "21–25 years")</f>
        <v>16–20 years</v>
      </c>
    </row>
    <row r="492" spans="1:8" x14ac:dyDescent="0.3">
      <c r="A492" t="s">
        <v>1904</v>
      </c>
      <c r="B492" t="s">
        <v>39</v>
      </c>
      <c r="C492">
        <v>6</v>
      </c>
      <c r="D492" s="9">
        <v>92.57</v>
      </c>
      <c r="E492" t="s">
        <v>1043</v>
      </c>
      <c r="F492" s="10">
        <v>2788.17</v>
      </c>
      <c r="G492">
        <f>Meter[[#This Row],[EstimatedLoss_RM]]/0.8</f>
        <v>3485.2125000000001</v>
      </c>
      <c r="H492" t="str" cm="1">
        <f t="array" ref="H492">_xlfn.IFS(C492&lt;=5, "0–5 years", C492&lt;=10, "6–10 years", C492&lt;=15, "11–15 years", C492&lt;=20, "16–20 years", TRUE, "21–25 years")</f>
        <v>6–10 years</v>
      </c>
    </row>
    <row r="493" spans="1:8" x14ac:dyDescent="0.3">
      <c r="A493" t="s">
        <v>1149</v>
      </c>
      <c r="B493" t="s">
        <v>53</v>
      </c>
      <c r="C493">
        <v>23</v>
      </c>
      <c r="D493" s="2">
        <v>92.57</v>
      </c>
      <c r="E493" t="s">
        <v>1041</v>
      </c>
      <c r="F493" s="11">
        <v>2785.87</v>
      </c>
      <c r="G493">
        <f>Meter[[#This Row],[EstimatedLoss_RM]]/0.8</f>
        <v>3482.3374999999996</v>
      </c>
      <c r="H493" t="str" cm="1">
        <f t="array" ref="H493">_xlfn.IFS(C493&lt;=5, "0–5 years", C493&lt;=10, "6–10 years", C493&lt;=15, "11–15 years", C493&lt;=20, "16–20 years", TRUE, "21–25 years")</f>
        <v>21–25 years</v>
      </c>
    </row>
    <row r="494" spans="1:8" x14ac:dyDescent="0.3">
      <c r="A494" t="s">
        <v>1435</v>
      </c>
      <c r="B494" t="s">
        <v>45</v>
      </c>
      <c r="C494">
        <v>7</v>
      </c>
      <c r="D494" s="9">
        <v>92.56</v>
      </c>
      <c r="E494" t="s">
        <v>1043</v>
      </c>
      <c r="F494" s="10">
        <v>2789.66</v>
      </c>
      <c r="G494">
        <f>Meter[[#This Row],[EstimatedLoss_RM]]/0.8</f>
        <v>3487.0749999999998</v>
      </c>
      <c r="H494" t="str" cm="1">
        <f t="array" ref="H494">_xlfn.IFS(C494&lt;=5, "0–5 years", C494&lt;=10, "6–10 years", C494&lt;=15, "11–15 years", C494&lt;=20, "16–20 years", TRUE, "21–25 years")</f>
        <v>6–10 years</v>
      </c>
    </row>
    <row r="495" spans="1:8" x14ac:dyDescent="0.3">
      <c r="A495" t="s">
        <v>1177</v>
      </c>
      <c r="B495" t="s">
        <v>40</v>
      </c>
      <c r="C495">
        <v>9</v>
      </c>
      <c r="D495" s="2">
        <v>92.56</v>
      </c>
      <c r="E495" t="s">
        <v>1045</v>
      </c>
      <c r="F495" s="11">
        <v>2803.65</v>
      </c>
      <c r="G495">
        <f>Meter[[#This Row],[EstimatedLoss_RM]]/0.8</f>
        <v>3504.5625</v>
      </c>
      <c r="H495" t="str" cm="1">
        <f t="array" ref="H495">_xlfn.IFS(C495&lt;=5, "0–5 years", C495&lt;=10, "6–10 years", C495&lt;=15, "11–15 years", C495&lt;=20, "16–20 years", TRUE, "21–25 years")</f>
        <v>6–10 years</v>
      </c>
    </row>
    <row r="496" spans="1:8" x14ac:dyDescent="0.3">
      <c r="A496" t="s">
        <v>1840</v>
      </c>
      <c r="B496" t="s">
        <v>47</v>
      </c>
      <c r="C496">
        <v>17</v>
      </c>
      <c r="D496" s="9">
        <v>92.56</v>
      </c>
      <c r="E496" t="s">
        <v>1043</v>
      </c>
      <c r="F496" s="10">
        <v>2802.36</v>
      </c>
      <c r="G496">
        <f>Meter[[#This Row],[EstimatedLoss_RM]]/0.8</f>
        <v>3502.95</v>
      </c>
      <c r="H496" t="str" cm="1">
        <f t="array" ref="H496">_xlfn.IFS(C496&lt;=5, "0–5 years", C496&lt;=10, "6–10 years", C496&lt;=15, "11–15 years", C496&lt;=20, "16–20 years", TRUE, "21–25 years")</f>
        <v>16–20 years</v>
      </c>
    </row>
    <row r="497" spans="1:8" x14ac:dyDescent="0.3">
      <c r="A497" t="s">
        <v>1425</v>
      </c>
      <c r="B497" t="s">
        <v>45</v>
      </c>
      <c r="C497">
        <v>3</v>
      </c>
      <c r="D497" s="2">
        <v>92.55</v>
      </c>
      <c r="E497" t="s">
        <v>1041</v>
      </c>
      <c r="F497" s="11">
        <v>2810.68</v>
      </c>
      <c r="G497">
        <f>Meter[[#This Row],[EstimatedLoss_RM]]/0.8</f>
        <v>3513.3499999999995</v>
      </c>
      <c r="H497" t="str" cm="1">
        <f t="array" ref="H497">_xlfn.IFS(C497&lt;=5, "0–5 years", C497&lt;=10, "6–10 years", C497&lt;=15, "11–15 years", C497&lt;=20, "16–20 years", TRUE, "21–25 years")</f>
        <v>0–5 years</v>
      </c>
    </row>
    <row r="498" spans="1:8" x14ac:dyDescent="0.3">
      <c r="A498" t="s">
        <v>1584</v>
      </c>
      <c r="B498" t="s">
        <v>47</v>
      </c>
      <c r="C498">
        <v>8</v>
      </c>
      <c r="D498" s="9">
        <v>92.54</v>
      </c>
      <c r="E498" t="s">
        <v>1041</v>
      </c>
      <c r="F498" s="10">
        <v>2811.24</v>
      </c>
      <c r="G498">
        <f>Meter[[#This Row],[EstimatedLoss_RM]]/0.8</f>
        <v>3514.0499999999997</v>
      </c>
      <c r="H498" t="str" cm="1">
        <f t="array" ref="H498">_xlfn.IFS(C498&lt;=5, "0–5 years", C498&lt;=10, "6–10 years", C498&lt;=15, "11–15 years", C498&lt;=20, "16–20 years", TRUE, "21–25 years")</f>
        <v>6–10 years</v>
      </c>
    </row>
    <row r="499" spans="1:8" x14ac:dyDescent="0.3">
      <c r="A499" t="s">
        <v>1299</v>
      </c>
      <c r="B499" t="s">
        <v>43</v>
      </c>
      <c r="C499">
        <v>20</v>
      </c>
      <c r="D499" s="2">
        <v>92.53</v>
      </c>
      <c r="E499" t="s">
        <v>1041</v>
      </c>
      <c r="F499" s="11">
        <v>2826.66</v>
      </c>
      <c r="G499">
        <f>Meter[[#This Row],[EstimatedLoss_RM]]/0.8</f>
        <v>3533.3249999999998</v>
      </c>
      <c r="H499" t="str" cm="1">
        <f t="array" ref="H499">_xlfn.IFS(C499&lt;=5, "0–5 years", C499&lt;=10, "6–10 years", C499&lt;=15, "11–15 years", C499&lt;=20, "16–20 years", TRUE, "21–25 years")</f>
        <v>16–20 years</v>
      </c>
    </row>
    <row r="500" spans="1:8" x14ac:dyDescent="0.3">
      <c r="A500" t="s">
        <v>1324</v>
      </c>
      <c r="B500" t="s">
        <v>41</v>
      </c>
      <c r="C500">
        <v>17</v>
      </c>
      <c r="D500" s="9">
        <v>92.52</v>
      </c>
      <c r="E500" t="s">
        <v>1041</v>
      </c>
      <c r="F500" s="10">
        <v>2829.58</v>
      </c>
      <c r="G500">
        <f>Meter[[#This Row],[EstimatedLoss_RM]]/0.8</f>
        <v>3536.9749999999999</v>
      </c>
      <c r="H500" t="str" cm="1">
        <f t="array" ref="H500">_xlfn.IFS(C500&lt;=5, "0–5 years", C500&lt;=10, "6–10 years", C500&lt;=15, "11–15 years", C500&lt;=20, "16–20 years", TRUE, "21–25 years")</f>
        <v>16–20 years</v>
      </c>
    </row>
    <row r="501" spans="1:8" x14ac:dyDescent="0.3">
      <c r="A501" t="s">
        <v>1090</v>
      </c>
      <c r="B501" t="s">
        <v>52</v>
      </c>
      <c r="C501">
        <v>19</v>
      </c>
      <c r="D501" s="2">
        <v>92.51</v>
      </c>
      <c r="E501" t="s">
        <v>1043</v>
      </c>
      <c r="F501" s="11">
        <v>2835.68</v>
      </c>
      <c r="G501">
        <f>Meter[[#This Row],[EstimatedLoss_RM]]/0.8</f>
        <v>3544.5999999999995</v>
      </c>
      <c r="H501" t="str" cm="1">
        <f t="array" ref="H501">_xlfn.IFS(C501&lt;=5, "0–5 years", C501&lt;=10, "6–10 years", C501&lt;=15, "11–15 years", C501&lt;=20, "16–20 years", TRUE, "21–25 years")</f>
        <v>16–20 years</v>
      </c>
    </row>
    <row r="502" spans="1:8" x14ac:dyDescent="0.3">
      <c r="A502" t="s">
        <v>1220</v>
      </c>
      <c r="B502" t="s">
        <v>53</v>
      </c>
      <c r="C502">
        <v>21</v>
      </c>
      <c r="D502" s="9">
        <v>92.51</v>
      </c>
      <c r="E502" t="s">
        <v>1045</v>
      </c>
      <c r="F502" s="10">
        <v>2836.31</v>
      </c>
      <c r="G502">
        <f>Meter[[#This Row],[EstimatedLoss_RM]]/0.8</f>
        <v>3545.3874999999998</v>
      </c>
      <c r="H502" t="str" cm="1">
        <f t="array" ref="H502">_xlfn.IFS(C502&lt;=5, "0–5 years", C502&lt;=10, "6–10 years", C502&lt;=15, "11–15 years", C502&lt;=20, "16–20 years", TRUE, "21–25 years")</f>
        <v>21–25 years</v>
      </c>
    </row>
    <row r="503" spans="1:8" x14ac:dyDescent="0.3">
      <c r="A503" t="s">
        <v>1855</v>
      </c>
      <c r="B503" t="s">
        <v>50</v>
      </c>
      <c r="C503">
        <v>21</v>
      </c>
      <c r="D503" s="2">
        <v>92.49</v>
      </c>
      <c r="E503" t="s">
        <v>1041</v>
      </c>
      <c r="F503" s="11">
        <v>2837.24</v>
      </c>
      <c r="G503">
        <f>Meter[[#This Row],[EstimatedLoss_RM]]/0.8</f>
        <v>3546.5499999999997</v>
      </c>
      <c r="H503" t="str" cm="1">
        <f t="array" ref="H503">_xlfn.IFS(C503&lt;=5, "0–5 years", C503&lt;=10, "6–10 years", C503&lt;=15, "11–15 years", C503&lt;=20, "16–20 years", TRUE, "21–25 years")</f>
        <v>21–25 years</v>
      </c>
    </row>
    <row r="504" spans="1:8" x14ac:dyDescent="0.3">
      <c r="A504" t="s">
        <v>1733</v>
      </c>
      <c r="B504" t="s">
        <v>40</v>
      </c>
      <c r="C504">
        <v>12</v>
      </c>
      <c r="D504" s="9">
        <v>92.48</v>
      </c>
      <c r="E504" t="s">
        <v>1041</v>
      </c>
      <c r="F504" s="10">
        <v>2843.81</v>
      </c>
      <c r="G504">
        <f>Meter[[#This Row],[EstimatedLoss_RM]]/0.8</f>
        <v>3554.7624999999998</v>
      </c>
      <c r="H504" t="str" cm="1">
        <f t="array" ref="H504">_xlfn.IFS(C504&lt;=5, "0–5 years", C504&lt;=10, "6–10 years", C504&lt;=15, "11–15 years", C504&lt;=20, "16–20 years", TRUE, "21–25 years")</f>
        <v>11–15 years</v>
      </c>
    </row>
    <row r="505" spans="1:8" x14ac:dyDescent="0.3">
      <c r="A505" t="s">
        <v>1815</v>
      </c>
      <c r="B505" t="s">
        <v>42</v>
      </c>
      <c r="C505">
        <v>17</v>
      </c>
      <c r="D505" s="2">
        <v>92.46</v>
      </c>
      <c r="E505" t="s">
        <v>1045</v>
      </c>
      <c r="F505" s="11">
        <v>2846.08</v>
      </c>
      <c r="G505">
        <f>Meter[[#This Row],[EstimatedLoss_RM]]/0.8</f>
        <v>3557.6</v>
      </c>
      <c r="H505" t="str" cm="1">
        <f t="array" ref="H505">_xlfn.IFS(C505&lt;=5, "0–5 years", C505&lt;=10, "6–10 years", C505&lt;=15, "11–15 years", C505&lt;=20, "16–20 years", TRUE, "21–25 years")</f>
        <v>16–20 years</v>
      </c>
    </row>
    <row r="506" spans="1:8" x14ac:dyDescent="0.3">
      <c r="A506" t="s">
        <v>1097</v>
      </c>
      <c r="B506" t="s">
        <v>40</v>
      </c>
      <c r="C506">
        <v>19</v>
      </c>
      <c r="D506" s="9">
        <v>92.46</v>
      </c>
      <c r="E506" t="s">
        <v>1043</v>
      </c>
      <c r="F506" s="10">
        <v>2846.63</v>
      </c>
      <c r="G506">
        <f>Meter[[#This Row],[EstimatedLoss_RM]]/0.8</f>
        <v>3558.2874999999999</v>
      </c>
      <c r="H506" t="str" cm="1">
        <f t="array" ref="H506">_xlfn.IFS(C506&lt;=5, "0–5 years", C506&lt;=10, "6–10 years", C506&lt;=15, "11–15 years", C506&lt;=20, "16–20 years", TRUE, "21–25 years")</f>
        <v>16–20 years</v>
      </c>
    </row>
    <row r="507" spans="1:8" x14ac:dyDescent="0.3">
      <c r="A507" t="s">
        <v>1795</v>
      </c>
      <c r="B507" t="s">
        <v>38</v>
      </c>
      <c r="C507">
        <v>9</v>
      </c>
      <c r="D507" s="2">
        <v>92.45</v>
      </c>
      <c r="E507" t="s">
        <v>1045</v>
      </c>
      <c r="F507" s="11">
        <v>2847.7</v>
      </c>
      <c r="G507">
        <f>Meter[[#This Row],[EstimatedLoss_RM]]/0.8</f>
        <v>3559.6249999999995</v>
      </c>
      <c r="H507" t="str" cm="1">
        <f t="array" ref="H507">_xlfn.IFS(C507&lt;=5, "0–5 years", C507&lt;=10, "6–10 years", C507&lt;=15, "11–15 years", C507&lt;=20, "16–20 years", TRUE, "21–25 years")</f>
        <v>6–10 years</v>
      </c>
    </row>
    <row r="508" spans="1:8" x14ac:dyDescent="0.3">
      <c r="A508" t="s">
        <v>1259</v>
      </c>
      <c r="B508" t="s">
        <v>38</v>
      </c>
      <c r="C508">
        <v>10</v>
      </c>
      <c r="D508" s="9">
        <v>92.45</v>
      </c>
      <c r="E508" t="s">
        <v>1043</v>
      </c>
      <c r="F508" s="10">
        <v>2848.12</v>
      </c>
      <c r="G508">
        <f>Meter[[#This Row],[EstimatedLoss_RM]]/0.8</f>
        <v>3560.1499999999996</v>
      </c>
      <c r="H508" t="str" cm="1">
        <f t="array" ref="H508">_xlfn.IFS(C508&lt;=5, "0–5 years", C508&lt;=10, "6–10 years", C508&lt;=15, "11–15 years", C508&lt;=20, "16–20 years", TRUE, "21–25 years")</f>
        <v>6–10 years</v>
      </c>
    </row>
    <row r="509" spans="1:8" x14ac:dyDescent="0.3">
      <c r="A509" t="s">
        <v>1371</v>
      </c>
      <c r="B509" t="s">
        <v>43</v>
      </c>
      <c r="C509">
        <v>17</v>
      </c>
      <c r="D509" s="2">
        <v>92.45</v>
      </c>
      <c r="E509" t="s">
        <v>1043</v>
      </c>
      <c r="F509" s="11">
        <v>2848.92</v>
      </c>
      <c r="G509">
        <f>Meter[[#This Row],[EstimatedLoss_RM]]/0.8</f>
        <v>3561.15</v>
      </c>
      <c r="H509" t="str" cm="1">
        <f t="array" ref="H509">_xlfn.IFS(C509&lt;=5, "0–5 years", C509&lt;=10, "6–10 years", C509&lt;=15, "11–15 years", C509&lt;=20, "16–20 years", TRUE, "21–25 years")</f>
        <v>16–20 years</v>
      </c>
    </row>
    <row r="510" spans="1:8" x14ac:dyDescent="0.3">
      <c r="A510" t="s">
        <v>1107</v>
      </c>
      <c r="B510" t="s">
        <v>48</v>
      </c>
      <c r="C510">
        <v>18</v>
      </c>
      <c r="D510" s="9">
        <v>92.43</v>
      </c>
      <c r="E510" t="s">
        <v>1043</v>
      </c>
      <c r="F510" s="10">
        <v>2850.86</v>
      </c>
      <c r="G510">
        <f>Meter[[#This Row],[EstimatedLoss_RM]]/0.8</f>
        <v>3563.5749999999998</v>
      </c>
      <c r="H510" t="str" cm="1">
        <f t="array" ref="H510">_xlfn.IFS(C510&lt;=5, "0–5 years", C510&lt;=10, "6–10 years", C510&lt;=15, "11–15 years", C510&lt;=20, "16–20 years", TRUE, "21–25 years")</f>
        <v>16–20 years</v>
      </c>
    </row>
    <row r="511" spans="1:8" x14ac:dyDescent="0.3">
      <c r="A511" t="s">
        <v>1590</v>
      </c>
      <c r="B511" t="s">
        <v>47</v>
      </c>
      <c r="C511">
        <v>13</v>
      </c>
      <c r="D511" s="2">
        <v>92.39</v>
      </c>
      <c r="E511" t="s">
        <v>1041</v>
      </c>
      <c r="F511" s="11">
        <v>2855.68</v>
      </c>
      <c r="G511">
        <f>Meter[[#This Row],[EstimatedLoss_RM]]/0.8</f>
        <v>3569.5999999999995</v>
      </c>
      <c r="H511" t="str" cm="1">
        <f t="array" ref="H511">_xlfn.IFS(C511&lt;=5, "0–5 years", C511&lt;=10, "6–10 years", C511&lt;=15, "11–15 years", C511&lt;=20, "16–20 years", TRUE, "21–25 years")</f>
        <v>11–15 years</v>
      </c>
    </row>
    <row r="512" spans="1:8" x14ac:dyDescent="0.3">
      <c r="A512" t="s">
        <v>1368</v>
      </c>
      <c r="B512" t="s">
        <v>47</v>
      </c>
      <c r="C512">
        <v>8</v>
      </c>
      <c r="D512" s="9">
        <v>92.37</v>
      </c>
      <c r="E512" t="s">
        <v>1041</v>
      </c>
      <c r="F512" s="10">
        <v>2858.76</v>
      </c>
      <c r="G512">
        <f>Meter[[#This Row],[EstimatedLoss_RM]]/0.8</f>
        <v>3573.4500000000003</v>
      </c>
      <c r="H512" t="str" cm="1">
        <f t="array" ref="H512">_xlfn.IFS(C512&lt;=5, "0–5 years", C512&lt;=10, "6–10 years", C512&lt;=15, "11–15 years", C512&lt;=20, "16–20 years", TRUE, "21–25 years")</f>
        <v>6–10 years</v>
      </c>
    </row>
    <row r="513" spans="1:8" x14ac:dyDescent="0.3">
      <c r="A513" t="s">
        <v>1729</v>
      </c>
      <c r="B513" t="s">
        <v>44</v>
      </c>
      <c r="C513">
        <v>13</v>
      </c>
      <c r="D513" s="2">
        <v>92.32</v>
      </c>
      <c r="E513" t="s">
        <v>1043</v>
      </c>
      <c r="F513" s="11">
        <v>2858.99</v>
      </c>
      <c r="G513">
        <f>Meter[[#This Row],[EstimatedLoss_RM]]/0.8</f>
        <v>3573.7374999999997</v>
      </c>
      <c r="H513" t="str" cm="1">
        <f t="array" ref="H513">_xlfn.IFS(C513&lt;=5, "0–5 years", C513&lt;=10, "6–10 years", C513&lt;=15, "11–15 years", C513&lt;=20, "16–20 years", TRUE, "21–25 years")</f>
        <v>11–15 years</v>
      </c>
    </row>
    <row r="514" spans="1:8" x14ac:dyDescent="0.3">
      <c r="A514" t="s">
        <v>1807</v>
      </c>
      <c r="B514" t="s">
        <v>38</v>
      </c>
      <c r="C514">
        <v>20</v>
      </c>
      <c r="D514" s="9">
        <v>92.3</v>
      </c>
      <c r="E514" t="s">
        <v>1043</v>
      </c>
      <c r="F514" s="10">
        <v>2862.8</v>
      </c>
      <c r="G514">
        <f>Meter[[#This Row],[EstimatedLoss_RM]]/0.8</f>
        <v>3578.5</v>
      </c>
      <c r="H514" t="str" cm="1">
        <f t="array" ref="H514">_xlfn.IFS(C514&lt;=5, "0–5 years", C514&lt;=10, "6–10 years", C514&lt;=15, "11–15 years", C514&lt;=20, "16–20 years", TRUE, "21–25 years")</f>
        <v>16–20 years</v>
      </c>
    </row>
    <row r="515" spans="1:8" x14ac:dyDescent="0.3">
      <c r="A515" t="s">
        <v>1678</v>
      </c>
      <c r="B515" t="s">
        <v>49</v>
      </c>
      <c r="C515">
        <v>6</v>
      </c>
      <c r="D515" s="2">
        <v>92.29</v>
      </c>
      <c r="E515" t="s">
        <v>1041</v>
      </c>
      <c r="F515" s="11">
        <v>2871.44</v>
      </c>
      <c r="G515">
        <f>Meter[[#This Row],[EstimatedLoss_RM]]/0.8</f>
        <v>3589.2999999999997</v>
      </c>
      <c r="H515" t="str" cm="1">
        <f t="array" ref="H515">_xlfn.IFS(C515&lt;=5, "0–5 years", C515&lt;=10, "6–10 years", C515&lt;=15, "11–15 years", C515&lt;=20, "16–20 years", TRUE, "21–25 years")</f>
        <v>6–10 years</v>
      </c>
    </row>
    <row r="516" spans="1:8" x14ac:dyDescent="0.3">
      <c r="A516" t="s">
        <v>1574</v>
      </c>
      <c r="B516" t="s">
        <v>44</v>
      </c>
      <c r="C516">
        <v>6</v>
      </c>
      <c r="D516" s="9">
        <v>92.28</v>
      </c>
      <c r="E516" t="s">
        <v>1045</v>
      </c>
      <c r="F516" s="10">
        <v>2874.27</v>
      </c>
      <c r="G516">
        <f>Meter[[#This Row],[EstimatedLoss_RM]]/0.8</f>
        <v>3592.8374999999996</v>
      </c>
      <c r="H516" t="str" cm="1">
        <f t="array" ref="H516">_xlfn.IFS(C516&lt;=5, "0–5 years", C516&lt;=10, "6–10 years", C516&lt;=15, "11–15 years", C516&lt;=20, "16–20 years", TRUE, "21–25 years")</f>
        <v>6–10 years</v>
      </c>
    </row>
    <row r="517" spans="1:8" x14ac:dyDescent="0.3">
      <c r="A517" t="s">
        <v>1132</v>
      </c>
      <c r="B517" t="s">
        <v>48</v>
      </c>
      <c r="C517">
        <v>17</v>
      </c>
      <c r="D517" s="2">
        <v>92.23</v>
      </c>
      <c r="E517" t="s">
        <v>1041</v>
      </c>
      <c r="F517" s="11">
        <v>2876.32</v>
      </c>
      <c r="G517">
        <f>Meter[[#This Row],[EstimatedLoss_RM]]/0.8</f>
        <v>3595.4</v>
      </c>
      <c r="H517" t="str" cm="1">
        <f t="array" ref="H517">_xlfn.IFS(C517&lt;=5, "0–5 years", C517&lt;=10, "6–10 years", C517&lt;=15, "11–15 years", C517&lt;=20, "16–20 years", TRUE, "21–25 years")</f>
        <v>16–20 years</v>
      </c>
    </row>
    <row r="518" spans="1:8" x14ac:dyDescent="0.3">
      <c r="A518" t="s">
        <v>1400</v>
      </c>
      <c r="B518" t="s">
        <v>42</v>
      </c>
      <c r="C518">
        <v>13</v>
      </c>
      <c r="D518" s="9">
        <v>92.22</v>
      </c>
      <c r="E518" t="s">
        <v>1041</v>
      </c>
      <c r="F518" s="10">
        <v>2878.85</v>
      </c>
      <c r="G518">
        <f>Meter[[#This Row],[EstimatedLoss_RM]]/0.8</f>
        <v>3598.5624999999995</v>
      </c>
      <c r="H518" t="str" cm="1">
        <f t="array" ref="H518">_xlfn.IFS(C518&lt;=5, "0–5 years", C518&lt;=10, "6–10 years", C518&lt;=15, "11–15 years", C518&lt;=20, "16–20 years", TRUE, "21–25 years")</f>
        <v>11–15 years</v>
      </c>
    </row>
    <row r="519" spans="1:8" x14ac:dyDescent="0.3">
      <c r="A519" t="s">
        <v>1710</v>
      </c>
      <c r="B519" t="s">
        <v>40</v>
      </c>
      <c r="C519">
        <v>22</v>
      </c>
      <c r="D519" s="2">
        <v>92.21</v>
      </c>
      <c r="E519" t="s">
        <v>1045</v>
      </c>
      <c r="F519" s="11">
        <v>2882.31</v>
      </c>
      <c r="G519">
        <f>Meter[[#This Row],[EstimatedLoss_RM]]/0.8</f>
        <v>3602.8874999999998</v>
      </c>
      <c r="H519" t="str" cm="1">
        <f t="array" ref="H519">_xlfn.IFS(C519&lt;=5, "0–5 years", C519&lt;=10, "6–10 years", C519&lt;=15, "11–15 years", C519&lt;=20, "16–20 years", TRUE, "21–25 years")</f>
        <v>21–25 years</v>
      </c>
    </row>
    <row r="520" spans="1:8" x14ac:dyDescent="0.3">
      <c r="A520" t="s">
        <v>1433</v>
      </c>
      <c r="B520" t="s">
        <v>52</v>
      </c>
      <c r="C520">
        <v>10</v>
      </c>
      <c r="D520" s="9">
        <v>92.2</v>
      </c>
      <c r="E520" t="s">
        <v>1041</v>
      </c>
      <c r="F520" s="10">
        <v>2886.98</v>
      </c>
      <c r="G520">
        <f>Meter[[#This Row],[EstimatedLoss_RM]]/0.8</f>
        <v>3608.7249999999999</v>
      </c>
      <c r="H520" t="str" cm="1">
        <f t="array" ref="H520">_xlfn.IFS(C520&lt;=5, "0–5 years", C520&lt;=10, "6–10 years", C520&lt;=15, "11–15 years", C520&lt;=20, "16–20 years", TRUE, "21–25 years")</f>
        <v>6–10 years</v>
      </c>
    </row>
    <row r="521" spans="1:8" x14ac:dyDescent="0.3">
      <c r="A521" t="s">
        <v>1845</v>
      </c>
      <c r="B521" t="s">
        <v>44</v>
      </c>
      <c r="C521">
        <v>15</v>
      </c>
      <c r="D521" s="2">
        <v>92.19</v>
      </c>
      <c r="E521" t="s">
        <v>1041</v>
      </c>
      <c r="F521" s="11">
        <v>2888.25</v>
      </c>
      <c r="G521">
        <f>Meter[[#This Row],[EstimatedLoss_RM]]/0.8</f>
        <v>3610.3125</v>
      </c>
      <c r="H521" t="str" cm="1">
        <f t="array" ref="H521">_xlfn.IFS(C521&lt;=5, "0–5 years", C521&lt;=10, "6–10 years", C521&lt;=15, "11–15 years", C521&lt;=20, "16–20 years", TRUE, "21–25 years")</f>
        <v>11–15 years</v>
      </c>
    </row>
    <row r="522" spans="1:8" x14ac:dyDescent="0.3">
      <c r="A522" t="s">
        <v>1100</v>
      </c>
      <c r="B522" t="s">
        <v>44</v>
      </c>
      <c r="C522">
        <v>13</v>
      </c>
      <c r="D522" s="9">
        <v>92.18</v>
      </c>
      <c r="E522" t="s">
        <v>1045</v>
      </c>
      <c r="F522" s="10">
        <v>2922</v>
      </c>
      <c r="G522">
        <f>Meter[[#This Row],[EstimatedLoss_RM]]/0.8</f>
        <v>3652.5</v>
      </c>
      <c r="H522" t="str" cm="1">
        <f t="array" ref="H522">_xlfn.IFS(C522&lt;=5, "0–5 years", C522&lt;=10, "6–10 years", C522&lt;=15, "11–15 years", C522&lt;=20, "16–20 years", TRUE, "21–25 years")</f>
        <v>11–15 years</v>
      </c>
    </row>
    <row r="523" spans="1:8" x14ac:dyDescent="0.3">
      <c r="A523" t="s">
        <v>1056</v>
      </c>
      <c r="B523" t="s">
        <v>46</v>
      </c>
      <c r="C523">
        <v>5</v>
      </c>
      <c r="D523" s="2">
        <v>92.17</v>
      </c>
      <c r="E523" t="s">
        <v>1041</v>
      </c>
      <c r="F523" s="11">
        <v>2948.32</v>
      </c>
      <c r="G523">
        <f>Meter[[#This Row],[EstimatedLoss_RM]]/0.8</f>
        <v>3685.4</v>
      </c>
      <c r="H523" t="str" cm="1">
        <f t="array" ref="H523">_xlfn.IFS(C523&lt;=5, "0–5 years", C523&lt;=10, "6–10 years", C523&lt;=15, "11–15 years", C523&lt;=20, "16–20 years", TRUE, "21–25 years")</f>
        <v>0–5 years</v>
      </c>
    </row>
    <row r="524" spans="1:8" x14ac:dyDescent="0.3">
      <c r="A524" t="s">
        <v>1439</v>
      </c>
      <c r="B524" t="s">
        <v>47</v>
      </c>
      <c r="C524">
        <v>6</v>
      </c>
      <c r="D524" s="9">
        <v>92.17</v>
      </c>
      <c r="E524" t="s">
        <v>1045</v>
      </c>
      <c r="F524" s="10">
        <v>2942.36</v>
      </c>
      <c r="G524">
        <f>Meter[[#This Row],[EstimatedLoss_RM]]/0.8</f>
        <v>3677.95</v>
      </c>
      <c r="H524" t="str" cm="1">
        <f t="array" ref="H524">_xlfn.IFS(C524&lt;=5, "0–5 years", C524&lt;=10, "6–10 years", C524&lt;=15, "11–15 years", C524&lt;=20, "16–20 years", TRUE, "21–25 years")</f>
        <v>6–10 years</v>
      </c>
    </row>
    <row r="525" spans="1:8" x14ac:dyDescent="0.3">
      <c r="A525" t="s">
        <v>1531</v>
      </c>
      <c r="B525" t="s">
        <v>52</v>
      </c>
      <c r="C525">
        <v>23</v>
      </c>
      <c r="D525" s="2">
        <v>92.17</v>
      </c>
      <c r="E525" t="s">
        <v>1041</v>
      </c>
      <c r="F525" s="11">
        <v>2935.91</v>
      </c>
      <c r="G525">
        <f>Meter[[#This Row],[EstimatedLoss_RM]]/0.8</f>
        <v>3669.8874999999998</v>
      </c>
      <c r="H525" t="str" cm="1">
        <f t="array" ref="H525">_xlfn.IFS(C525&lt;=5, "0–5 years", C525&lt;=10, "6–10 years", C525&lt;=15, "11–15 years", C525&lt;=20, "16–20 years", TRUE, "21–25 years")</f>
        <v>21–25 years</v>
      </c>
    </row>
    <row r="526" spans="1:8" x14ac:dyDescent="0.3">
      <c r="A526" t="s">
        <v>1125</v>
      </c>
      <c r="B526" t="s">
        <v>44</v>
      </c>
      <c r="C526">
        <v>22</v>
      </c>
      <c r="D526" s="9">
        <v>92.16</v>
      </c>
      <c r="E526" t="s">
        <v>1043</v>
      </c>
      <c r="F526" s="10">
        <v>2955.68</v>
      </c>
      <c r="G526">
        <f>Meter[[#This Row],[EstimatedLoss_RM]]/0.8</f>
        <v>3694.5999999999995</v>
      </c>
      <c r="H526" t="str" cm="1">
        <f t="array" ref="H526">_xlfn.IFS(C526&lt;=5, "0–5 years", C526&lt;=10, "6–10 years", C526&lt;=15, "11–15 years", C526&lt;=20, "16–20 years", TRUE, "21–25 years")</f>
        <v>21–25 years</v>
      </c>
    </row>
    <row r="527" spans="1:8" x14ac:dyDescent="0.3">
      <c r="A527" t="s">
        <v>1670</v>
      </c>
      <c r="B527" t="s">
        <v>50</v>
      </c>
      <c r="C527">
        <v>14</v>
      </c>
      <c r="D527" s="2">
        <v>92.15</v>
      </c>
      <c r="E527" t="s">
        <v>1041</v>
      </c>
      <c r="F527" s="11">
        <v>2961.09</v>
      </c>
      <c r="G527">
        <f>Meter[[#This Row],[EstimatedLoss_RM]]/0.8</f>
        <v>3701.3625000000002</v>
      </c>
      <c r="H527" t="str" cm="1">
        <f t="array" ref="H527">_xlfn.IFS(C527&lt;=5, "0–5 years", C527&lt;=10, "6–10 years", C527&lt;=15, "11–15 years", C527&lt;=20, "16–20 years", TRUE, "21–25 years")</f>
        <v>11–15 years</v>
      </c>
    </row>
    <row r="528" spans="1:8" x14ac:dyDescent="0.3">
      <c r="A528" t="s">
        <v>1680</v>
      </c>
      <c r="B528" t="s">
        <v>42</v>
      </c>
      <c r="C528">
        <v>15</v>
      </c>
      <c r="D528" s="9">
        <v>92.15</v>
      </c>
      <c r="E528" t="s">
        <v>1043</v>
      </c>
      <c r="F528" s="10">
        <v>2969.5</v>
      </c>
      <c r="G528">
        <f>Meter[[#This Row],[EstimatedLoss_RM]]/0.8</f>
        <v>3711.875</v>
      </c>
      <c r="H528" t="str" cm="1">
        <f t="array" ref="H528">_xlfn.IFS(C528&lt;=5, "0–5 years", C528&lt;=10, "6–10 years", C528&lt;=15, "11–15 years", C528&lt;=20, "16–20 years", TRUE, "21–25 years")</f>
        <v>11–15 years</v>
      </c>
    </row>
    <row r="529" spans="1:8" x14ac:dyDescent="0.3">
      <c r="A529" t="s">
        <v>1234</v>
      </c>
      <c r="B529" t="s">
        <v>40</v>
      </c>
      <c r="C529">
        <v>19</v>
      </c>
      <c r="D529" s="2">
        <v>92.11</v>
      </c>
      <c r="E529" t="s">
        <v>1041</v>
      </c>
      <c r="F529" s="11">
        <v>2969.56</v>
      </c>
      <c r="G529">
        <f>Meter[[#This Row],[EstimatedLoss_RM]]/0.8</f>
        <v>3711.95</v>
      </c>
      <c r="H529" t="str" cm="1">
        <f t="array" ref="H529">_xlfn.IFS(C529&lt;=5, "0–5 years", C529&lt;=10, "6–10 years", C529&lt;=15, "11–15 years", C529&lt;=20, "16–20 years", TRUE, "21–25 years")</f>
        <v>16–20 years</v>
      </c>
    </row>
    <row r="530" spans="1:8" x14ac:dyDescent="0.3">
      <c r="A530" t="s">
        <v>1074</v>
      </c>
      <c r="B530" t="s">
        <v>42</v>
      </c>
      <c r="C530">
        <v>24</v>
      </c>
      <c r="D530" s="9">
        <v>92.1</v>
      </c>
      <c r="E530" t="s">
        <v>1041</v>
      </c>
      <c r="F530" s="10">
        <v>2970.66</v>
      </c>
      <c r="G530">
        <f>Meter[[#This Row],[EstimatedLoss_RM]]/0.8</f>
        <v>3713.3249999999998</v>
      </c>
      <c r="H530" t="str" cm="1">
        <f t="array" ref="H530">_xlfn.IFS(C530&lt;=5, "0–5 years", C530&lt;=10, "6–10 years", C530&lt;=15, "11–15 years", C530&lt;=20, "16–20 years", TRUE, "21–25 years")</f>
        <v>21–25 years</v>
      </c>
    </row>
    <row r="531" spans="1:8" x14ac:dyDescent="0.3">
      <c r="A531" t="s">
        <v>1501</v>
      </c>
      <c r="B531" t="s">
        <v>39</v>
      </c>
      <c r="C531">
        <v>12</v>
      </c>
      <c r="D531" s="2">
        <v>92.09</v>
      </c>
      <c r="E531" t="s">
        <v>1045</v>
      </c>
      <c r="F531" s="11">
        <v>2974.65</v>
      </c>
      <c r="G531">
        <f>Meter[[#This Row],[EstimatedLoss_RM]]/0.8</f>
        <v>3718.3125</v>
      </c>
      <c r="H531" t="str" cm="1">
        <f t="array" ref="H531">_xlfn.IFS(C531&lt;=5, "0–5 years", C531&lt;=10, "6–10 years", C531&lt;=15, "11–15 years", C531&lt;=20, "16–20 years", TRUE, "21–25 years")</f>
        <v>11–15 years</v>
      </c>
    </row>
    <row r="532" spans="1:8" x14ac:dyDescent="0.3">
      <c r="A532" t="s">
        <v>1517</v>
      </c>
      <c r="B532" t="s">
        <v>39</v>
      </c>
      <c r="C532">
        <v>23</v>
      </c>
      <c r="D532" s="9">
        <v>92.09</v>
      </c>
      <c r="E532" t="s">
        <v>1043</v>
      </c>
      <c r="F532" s="10">
        <v>2971.17</v>
      </c>
      <c r="G532">
        <f>Meter[[#This Row],[EstimatedLoss_RM]]/0.8</f>
        <v>3713.9625000000001</v>
      </c>
      <c r="H532" t="str" cm="1">
        <f t="array" ref="H532">_xlfn.IFS(C532&lt;=5, "0–5 years", C532&lt;=10, "6–10 years", C532&lt;=15, "11–15 years", C532&lt;=20, "16–20 years", TRUE, "21–25 years")</f>
        <v>21–25 years</v>
      </c>
    </row>
    <row r="533" spans="1:8" x14ac:dyDescent="0.3">
      <c r="A533" t="s">
        <v>1313</v>
      </c>
      <c r="B533" t="s">
        <v>53</v>
      </c>
      <c r="C533">
        <v>22</v>
      </c>
      <c r="D533" s="2">
        <v>92.08</v>
      </c>
      <c r="E533" t="s">
        <v>1043</v>
      </c>
      <c r="F533" s="11">
        <v>2977.3</v>
      </c>
      <c r="G533">
        <f>Meter[[#This Row],[EstimatedLoss_RM]]/0.8</f>
        <v>3721.625</v>
      </c>
      <c r="H533" t="str" cm="1">
        <f t="array" ref="H533">_xlfn.IFS(C533&lt;=5, "0–5 years", C533&lt;=10, "6–10 years", C533&lt;=15, "11–15 years", C533&lt;=20, "16–20 years", TRUE, "21–25 years")</f>
        <v>21–25 years</v>
      </c>
    </row>
    <row r="534" spans="1:8" x14ac:dyDescent="0.3">
      <c r="A534" t="s">
        <v>1878</v>
      </c>
      <c r="B534" t="s">
        <v>38</v>
      </c>
      <c r="C534">
        <v>16</v>
      </c>
      <c r="D534" s="9">
        <v>92.07</v>
      </c>
      <c r="E534" t="s">
        <v>1045</v>
      </c>
      <c r="F534" s="10">
        <v>2981.41</v>
      </c>
      <c r="G534">
        <f>Meter[[#This Row],[EstimatedLoss_RM]]/0.8</f>
        <v>3726.7624999999998</v>
      </c>
      <c r="H534" t="str" cm="1">
        <f t="array" ref="H534">_xlfn.IFS(C534&lt;=5, "0–5 years", C534&lt;=10, "6–10 years", C534&lt;=15, "11–15 years", C534&lt;=20, "16–20 years", TRUE, "21–25 years")</f>
        <v>16–20 years</v>
      </c>
    </row>
    <row r="535" spans="1:8" x14ac:dyDescent="0.3">
      <c r="A535" t="s">
        <v>1803</v>
      </c>
      <c r="B535" t="s">
        <v>38</v>
      </c>
      <c r="C535">
        <v>12</v>
      </c>
      <c r="D535" s="2">
        <v>92.05</v>
      </c>
      <c r="E535" t="s">
        <v>1041</v>
      </c>
      <c r="F535" s="11">
        <v>2984.07</v>
      </c>
      <c r="G535">
        <f>Meter[[#This Row],[EstimatedLoss_RM]]/0.8</f>
        <v>3730.0875000000001</v>
      </c>
      <c r="H535" t="str" cm="1">
        <f t="array" ref="H535">_xlfn.IFS(C535&lt;=5, "0–5 years", C535&lt;=10, "6–10 years", C535&lt;=15, "11–15 years", C535&lt;=20, "16–20 years", TRUE, "21–25 years")</f>
        <v>11–15 years</v>
      </c>
    </row>
    <row r="536" spans="1:8" x14ac:dyDescent="0.3">
      <c r="A536" t="s">
        <v>1235</v>
      </c>
      <c r="B536" t="s">
        <v>41</v>
      </c>
      <c r="C536">
        <v>16</v>
      </c>
      <c r="D536" s="9">
        <v>92.03</v>
      </c>
      <c r="E536" t="s">
        <v>1041</v>
      </c>
      <c r="F536" s="10">
        <v>2995.63</v>
      </c>
      <c r="G536">
        <f>Meter[[#This Row],[EstimatedLoss_RM]]/0.8</f>
        <v>3744.5374999999999</v>
      </c>
      <c r="H536" t="str" cm="1">
        <f t="array" ref="H536">_xlfn.IFS(C536&lt;=5, "0–5 years", C536&lt;=10, "6–10 years", C536&lt;=15, "11–15 years", C536&lt;=20, "16–20 years", TRUE, "21–25 years")</f>
        <v>16–20 years</v>
      </c>
    </row>
    <row r="537" spans="1:8" x14ac:dyDescent="0.3">
      <c r="A537" t="s">
        <v>1335</v>
      </c>
      <c r="B537" t="s">
        <v>44</v>
      </c>
      <c r="C537">
        <v>12</v>
      </c>
      <c r="D537" s="2">
        <v>92.02</v>
      </c>
      <c r="E537" t="s">
        <v>1041</v>
      </c>
      <c r="F537" s="11">
        <v>2999.55</v>
      </c>
      <c r="G537">
        <f>Meter[[#This Row],[EstimatedLoss_RM]]/0.8</f>
        <v>3749.4375</v>
      </c>
      <c r="H537" t="str" cm="1">
        <f t="array" ref="H537">_xlfn.IFS(C537&lt;=5, "0–5 years", C537&lt;=10, "6–10 years", C537&lt;=15, "11–15 years", C537&lt;=20, "16–20 years", TRUE, "21–25 years")</f>
        <v>11–15 years</v>
      </c>
    </row>
    <row r="538" spans="1:8" x14ac:dyDescent="0.3">
      <c r="A538" t="s">
        <v>1137</v>
      </c>
      <c r="B538" t="s">
        <v>45</v>
      </c>
      <c r="C538">
        <v>13</v>
      </c>
      <c r="D538" s="9">
        <v>92.02</v>
      </c>
      <c r="E538" t="s">
        <v>1041</v>
      </c>
      <c r="F538" s="10">
        <v>2999.02</v>
      </c>
      <c r="G538">
        <f>Meter[[#This Row],[EstimatedLoss_RM]]/0.8</f>
        <v>3748.7749999999996</v>
      </c>
      <c r="H538" t="str" cm="1">
        <f t="array" ref="H538">_xlfn.IFS(C538&lt;=5, "0–5 years", C538&lt;=10, "6–10 years", C538&lt;=15, "11–15 years", C538&lt;=20, "16–20 years", TRUE, "21–25 years")</f>
        <v>11–15 years</v>
      </c>
    </row>
    <row r="539" spans="1:8" x14ac:dyDescent="0.3">
      <c r="A539" t="s">
        <v>1096</v>
      </c>
      <c r="B539" t="s">
        <v>41</v>
      </c>
      <c r="C539">
        <v>18</v>
      </c>
      <c r="D539" s="2">
        <v>92.02</v>
      </c>
      <c r="E539" t="s">
        <v>1045</v>
      </c>
      <c r="F539" s="11">
        <v>3000.11</v>
      </c>
      <c r="G539">
        <f>Meter[[#This Row],[EstimatedLoss_RM]]/0.8</f>
        <v>3750.1374999999998</v>
      </c>
      <c r="H539" t="str" cm="1">
        <f t="array" ref="H539">_xlfn.IFS(C539&lt;=5, "0–5 years", C539&lt;=10, "6–10 years", C539&lt;=15, "11–15 years", C539&lt;=20, "16–20 years", TRUE, "21–25 years")</f>
        <v>16–20 years</v>
      </c>
    </row>
    <row r="540" spans="1:8" x14ac:dyDescent="0.3">
      <c r="A540" t="s">
        <v>1445</v>
      </c>
      <c r="B540" t="s">
        <v>50</v>
      </c>
      <c r="C540">
        <v>15</v>
      </c>
      <c r="D540" s="9">
        <v>92.01</v>
      </c>
      <c r="E540" t="s">
        <v>1043</v>
      </c>
      <c r="F540" s="10">
        <v>3003.51</v>
      </c>
      <c r="G540">
        <f>Meter[[#This Row],[EstimatedLoss_RM]]/0.8</f>
        <v>3754.3875000000003</v>
      </c>
      <c r="H540" t="str" cm="1">
        <f t="array" ref="H540">_xlfn.IFS(C540&lt;=5, "0–5 years", C540&lt;=10, "6–10 years", C540&lt;=15, "11–15 years", C540&lt;=20, "16–20 years", TRUE, "21–25 years")</f>
        <v>11–15 years</v>
      </c>
    </row>
    <row r="541" spans="1:8" x14ac:dyDescent="0.3">
      <c r="A541" t="s">
        <v>1545</v>
      </c>
      <c r="B541" t="s">
        <v>41</v>
      </c>
      <c r="C541">
        <v>8</v>
      </c>
      <c r="D541" s="2">
        <v>92</v>
      </c>
      <c r="E541" t="s">
        <v>1043</v>
      </c>
      <c r="F541" s="11">
        <v>3005.22</v>
      </c>
      <c r="G541">
        <f>Meter[[#This Row],[EstimatedLoss_RM]]/0.8</f>
        <v>3756.5249999999996</v>
      </c>
      <c r="H541" t="str" cm="1">
        <f t="array" ref="H541">_xlfn.IFS(C541&lt;=5, "0–5 years", C541&lt;=10, "6–10 years", C541&lt;=15, "11–15 years", C541&lt;=20, "16–20 years", TRUE, "21–25 years")</f>
        <v>6–10 years</v>
      </c>
    </row>
    <row r="542" spans="1:8" x14ac:dyDescent="0.3">
      <c r="A542" t="s">
        <v>1525</v>
      </c>
      <c r="B542" t="s">
        <v>49</v>
      </c>
      <c r="C542">
        <v>7</v>
      </c>
      <c r="D542" s="9">
        <v>91.99</v>
      </c>
      <c r="E542" t="s">
        <v>1045</v>
      </c>
      <c r="F542" s="10">
        <v>3005.96</v>
      </c>
      <c r="G542">
        <f>Meter[[#This Row],[EstimatedLoss_RM]]/0.8</f>
        <v>3757.45</v>
      </c>
      <c r="H542" t="str" cm="1">
        <f t="array" ref="H542">_xlfn.IFS(C542&lt;=5, "0–5 years", C542&lt;=10, "6–10 years", C542&lt;=15, "11–15 years", C542&lt;=20, "16–20 years", TRUE, "21–25 years")</f>
        <v>6–10 years</v>
      </c>
    </row>
    <row r="543" spans="1:8" x14ac:dyDescent="0.3">
      <c r="A543" t="s">
        <v>1746</v>
      </c>
      <c r="B543" t="s">
        <v>53</v>
      </c>
      <c r="C543">
        <v>8</v>
      </c>
      <c r="D543" s="2">
        <v>91.98</v>
      </c>
      <c r="E543" t="s">
        <v>1041</v>
      </c>
      <c r="F543" s="11">
        <v>3030.23</v>
      </c>
      <c r="G543">
        <f>Meter[[#This Row],[EstimatedLoss_RM]]/0.8</f>
        <v>3787.7874999999999</v>
      </c>
      <c r="H543" t="str" cm="1">
        <f t="array" ref="H543">_xlfn.IFS(C543&lt;=5, "0–5 years", C543&lt;=10, "6–10 years", C543&lt;=15, "11–15 years", C543&lt;=20, "16–20 years", TRUE, "21–25 years")</f>
        <v>6–10 years</v>
      </c>
    </row>
    <row r="544" spans="1:8" x14ac:dyDescent="0.3">
      <c r="A544" t="s">
        <v>1780</v>
      </c>
      <c r="B544" t="s">
        <v>50</v>
      </c>
      <c r="C544">
        <v>20</v>
      </c>
      <c r="D544" s="9">
        <v>91.97</v>
      </c>
      <c r="E544" t="s">
        <v>1045</v>
      </c>
      <c r="F544" s="10">
        <v>3036.78</v>
      </c>
      <c r="G544">
        <f>Meter[[#This Row],[EstimatedLoss_RM]]/0.8</f>
        <v>3795.9749999999999</v>
      </c>
      <c r="H544" t="str" cm="1">
        <f t="array" ref="H544">_xlfn.IFS(C544&lt;=5, "0–5 years", C544&lt;=10, "6–10 years", C544&lt;=15, "11–15 years", C544&lt;=20, "16–20 years", TRUE, "21–25 years")</f>
        <v>16–20 years</v>
      </c>
    </row>
    <row r="545" spans="1:8" x14ac:dyDescent="0.3">
      <c r="A545" t="s">
        <v>1325</v>
      </c>
      <c r="B545" t="s">
        <v>42</v>
      </c>
      <c r="C545">
        <v>23</v>
      </c>
      <c r="D545" s="2">
        <v>91.97</v>
      </c>
      <c r="E545" t="s">
        <v>1043</v>
      </c>
      <c r="F545" s="11">
        <v>3035.34</v>
      </c>
      <c r="G545">
        <f>Meter[[#This Row],[EstimatedLoss_RM]]/0.8</f>
        <v>3794.1750000000002</v>
      </c>
      <c r="H545" t="str" cm="1">
        <f t="array" ref="H545">_xlfn.IFS(C545&lt;=5, "0–5 years", C545&lt;=10, "6–10 years", C545&lt;=15, "11–15 years", C545&lt;=20, "16–20 years", TRUE, "21–25 years")</f>
        <v>21–25 years</v>
      </c>
    </row>
    <row r="546" spans="1:8" x14ac:dyDescent="0.3">
      <c r="A546" t="s">
        <v>1869</v>
      </c>
      <c r="B546" t="s">
        <v>53</v>
      </c>
      <c r="C546">
        <v>23</v>
      </c>
      <c r="D546" s="9">
        <v>91.96</v>
      </c>
      <c r="E546" t="s">
        <v>1043</v>
      </c>
      <c r="F546" s="10">
        <v>3038.44</v>
      </c>
      <c r="G546">
        <f>Meter[[#This Row],[EstimatedLoss_RM]]/0.8</f>
        <v>3798.0499999999997</v>
      </c>
      <c r="H546" t="str" cm="1">
        <f t="array" ref="H546">_xlfn.IFS(C546&lt;=5, "0–5 years", C546&lt;=10, "6–10 years", C546&lt;=15, "11–15 years", C546&lt;=20, "16–20 years", TRUE, "21–25 years")</f>
        <v>21–25 years</v>
      </c>
    </row>
    <row r="547" spans="1:8" x14ac:dyDescent="0.3">
      <c r="A547" t="s">
        <v>1154</v>
      </c>
      <c r="B547" t="s">
        <v>42</v>
      </c>
      <c r="C547">
        <v>15</v>
      </c>
      <c r="D547" s="2">
        <v>91.95</v>
      </c>
      <c r="E547" t="s">
        <v>1041</v>
      </c>
      <c r="F547" s="11">
        <v>3039.6</v>
      </c>
      <c r="G547">
        <f>Meter[[#This Row],[EstimatedLoss_RM]]/0.8</f>
        <v>3799.4999999999995</v>
      </c>
      <c r="H547" t="str" cm="1">
        <f t="array" ref="H547">_xlfn.IFS(C547&lt;=5, "0–5 years", C547&lt;=10, "6–10 years", C547&lt;=15, "11–15 years", C547&lt;=20, "16–20 years", TRUE, "21–25 years")</f>
        <v>11–15 years</v>
      </c>
    </row>
    <row r="548" spans="1:8" x14ac:dyDescent="0.3">
      <c r="A548" t="s">
        <v>1552</v>
      </c>
      <c r="B548" t="s">
        <v>52</v>
      </c>
      <c r="C548">
        <v>11</v>
      </c>
      <c r="D548" s="9">
        <v>91.94</v>
      </c>
      <c r="E548" t="s">
        <v>1045</v>
      </c>
      <c r="F548" s="10">
        <v>3041.06</v>
      </c>
      <c r="G548">
        <f>Meter[[#This Row],[EstimatedLoss_RM]]/0.8</f>
        <v>3801.3249999999998</v>
      </c>
      <c r="H548" t="str" cm="1">
        <f t="array" ref="H548">_xlfn.IFS(C548&lt;=5, "0–5 years", C548&lt;=10, "6–10 years", C548&lt;=15, "11–15 years", C548&lt;=20, "16–20 years", TRUE, "21–25 years")</f>
        <v>11–15 years</v>
      </c>
    </row>
    <row r="549" spans="1:8" x14ac:dyDescent="0.3">
      <c r="A549" t="s">
        <v>1115</v>
      </c>
      <c r="B549" t="s">
        <v>38</v>
      </c>
      <c r="C549">
        <v>15</v>
      </c>
      <c r="D549" s="2">
        <v>91.93</v>
      </c>
      <c r="E549" t="s">
        <v>1045</v>
      </c>
      <c r="F549" s="11">
        <v>3043.61</v>
      </c>
      <c r="G549">
        <f>Meter[[#This Row],[EstimatedLoss_RM]]/0.8</f>
        <v>3804.5124999999998</v>
      </c>
      <c r="H549" t="str" cm="1">
        <f t="array" ref="H549">_xlfn.IFS(C549&lt;=5, "0–5 years", C549&lt;=10, "6–10 years", C549&lt;=15, "11–15 years", C549&lt;=20, "16–20 years", TRUE, "21–25 years")</f>
        <v>11–15 years</v>
      </c>
    </row>
    <row r="550" spans="1:8" x14ac:dyDescent="0.3">
      <c r="A550" t="s">
        <v>1111</v>
      </c>
      <c r="B550" t="s">
        <v>39</v>
      </c>
      <c r="C550">
        <v>17</v>
      </c>
      <c r="D550" s="9">
        <v>91.92</v>
      </c>
      <c r="E550" t="s">
        <v>1045</v>
      </c>
      <c r="F550" s="10">
        <v>3044.51</v>
      </c>
      <c r="G550">
        <f>Meter[[#This Row],[EstimatedLoss_RM]]/0.8</f>
        <v>3805.6375000000003</v>
      </c>
      <c r="H550" t="str" cm="1">
        <f t="array" ref="H550">_xlfn.IFS(C550&lt;=5, "0–5 years", C550&lt;=10, "6–10 years", C550&lt;=15, "11–15 years", C550&lt;=20, "16–20 years", TRUE, "21–25 years")</f>
        <v>16–20 years</v>
      </c>
    </row>
    <row r="551" spans="1:8" x14ac:dyDescent="0.3">
      <c r="A551" t="s">
        <v>1654</v>
      </c>
      <c r="B551" t="s">
        <v>43</v>
      </c>
      <c r="C551">
        <v>15</v>
      </c>
      <c r="D551" s="2">
        <v>91.89</v>
      </c>
      <c r="E551" t="s">
        <v>1041</v>
      </c>
      <c r="F551" s="11">
        <v>3046.67</v>
      </c>
      <c r="G551">
        <f>Meter[[#This Row],[EstimatedLoss_RM]]/0.8</f>
        <v>3808.3375000000001</v>
      </c>
      <c r="H551" t="str" cm="1">
        <f t="array" ref="H551">_xlfn.IFS(C551&lt;=5, "0–5 years", C551&lt;=10, "6–10 years", C551&lt;=15, "11–15 years", C551&lt;=20, "16–20 years", TRUE, "21–25 years")</f>
        <v>11–15 years</v>
      </c>
    </row>
    <row r="552" spans="1:8" x14ac:dyDescent="0.3">
      <c r="A552" t="s">
        <v>1766</v>
      </c>
      <c r="B552" t="s">
        <v>45</v>
      </c>
      <c r="C552">
        <v>19</v>
      </c>
      <c r="D552" s="9">
        <v>91.89</v>
      </c>
      <c r="E552" t="s">
        <v>1043</v>
      </c>
      <c r="F552" s="10">
        <v>3047.4</v>
      </c>
      <c r="G552">
        <f>Meter[[#This Row],[EstimatedLoss_RM]]/0.8</f>
        <v>3809.25</v>
      </c>
      <c r="H552" t="str" cm="1">
        <f t="array" ref="H552">_xlfn.IFS(C552&lt;=5, "0–5 years", C552&lt;=10, "6–10 years", C552&lt;=15, "11–15 years", C552&lt;=20, "16–20 years", TRUE, "21–25 years")</f>
        <v>16–20 years</v>
      </c>
    </row>
    <row r="553" spans="1:8" x14ac:dyDescent="0.3">
      <c r="A553" t="s">
        <v>1429</v>
      </c>
      <c r="B553" t="s">
        <v>47</v>
      </c>
      <c r="C553">
        <v>17</v>
      </c>
      <c r="D553" s="2">
        <v>91.88</v>
      </c>
      <c r="E553" t="s">
        <v>1043</v>
      </c>
      <c r="F553" s="11">
        <v>3047.71</v>
      </c>
      <c r="G553">
        <f>Meter[[#This Row],[EstimatedLoss_RM]]/0.8</f>
        <v>3809.6374999999998</v>
      </c>
      <c r="H553" t="str" cm="1">
        <f t="array" ref="H553">_xlfn.IFS(C553&lt;=5, "0–5 years", C553&lt;=10, "6–10 years", C553&lt;=15, "11–15 years", C553&lt;=20, "16–20 years", TRUE, "21–25 years")</f>
        <v>16–20 years</v>
      </c>
    </row>
    <row r="554" spans="1:8" x14ac:dyDescent="0.3">
      <c r="A554" t="s">
        <v>1513</v>
      </c>
      <c r="B554" t="s">
        <v>47</v>
      </c>
      <c r="C554">
        <v>14</v>
      </c>
      <c r="D554" s="9">
        <v>91.85</v>
      </c>
      <c r="E554" t="s">
        <v>1041</v>
      </c>
      <c r="F554" s="10">
        <v>3052.55</v>
      </c>
      <c r="G554">
        <f>Meter[[#This Row],[EstimatedLoss_RM]]/0.8</f>
        <v>3815.6875</v>
      </c>
      <c r="H554" t="str" cm="1">
        <f t="array" ref="H554">_xlfn.IFS(C554&lt;=5, "0–5 years", C554&lt;=10, "6–10 years", C554&lt;=15, "11–15 years", C554&lt;=20, "16–20 years", TRUE, "21–25 years")</f>
        <v>11–15 years</v>
      </c>
    </row>
    <row r="555" spans="1:8" x14ac:dyDescent="0.3">
      <c r="A555" t="s">
        <v>1858</v>
      </c>
      <c r="B555" t="s">
        <v>53</v>
      </c>
      <c r="C555">
        <v>8</v>
      </c>
      <c r="D555" s="2">
        <v>91.83</v>
      </c>
      <c r="E555" t="s">
        <v>1043</v>
      </c>
      <c r="F555" s="11">
        <v>3078.84</v>
      </c>
      <c r="G555">
        <f>Meter[[#This Row],[EstimatedLoss_RM]]/0.8</f>
        <v>3848.55</v>
      </c>
      <c r="H555" t="str" cm="1">
        <f t="array" ref="H555">_xlfn.IFS(C555&lt;=5, "0–5 years", C555&lt;=10, "6–10 years", C555&lt;=15, "11–15 years", C555&lt;=20, "16–20 years", TRUE, "21–25 years")</f>
        <v>6–10 years</v>
      </c>
    </row>
    <row r="556" spans="1:8" x14ac:dyDescent="0.3">
      <c r="A556" t="s">
        <v>1060</v>
      </c>
      <c r="B556" t="s">
        <v>47</v>
      </c>
      <c r="C556">
        <v>17</v>
      </c>
      <c r="D556" s="9">
        <v>91.83</v>
      </c>
      <c r="E556" t="s">
        <v>1041</v>
      </c>
      <c r="F556" s="10">
        <v>3055.99</v>
      </c>
      <c r="G556">
        <f>Meter[[#This Row],[EstimatedLoss_RM]]/0.8</f>
        <v>3819.9874999999997</v>
      </c>
      <c r="H556" t="str" cm="1">
        <f t="array" ref="H556">_xlfn.IFS(C556&lt;=5, "0–5 years", C556&lt;=10, "6–10 years", C556&lt;=15, "11–15 years", C556&lt;=20, "16–20 years", TRUE, "21–25 years")</f>
        <v>16–20 years</v>
      </c>
    </row>
    <row r="557" spans="1:8" x14ac:dyDescent="0.3">
      <c r="A557" t="s">
        <v>1708</v>
      </c>
      <c r="B557" t="s">
        <v>39</v>
      </c>
      <c r="C557">
        <v>16</v>
      </c>
      <c r="D557" s="2">
        <v>91.81</v>
      </c>
      <c r="E557" t="s">
        <v>1041</v>
      </c>
      <c r="F557" s="11">
        <v>3082.44</v>
      </c>
      <c r="G557">
        <f>Meter[[#This Row],[EstimatedLoss_RM]]/0.8</f>
        <v>3853.0499999999997</v>
      </c>
      <c r="H557" t="str" cm="1">
        <f t="array" ref="H557">_xlfn.IFS(C557&lt;=5, "0–5 years", C557&lt;=10, "6–10 years", C557&lt;=15, "11–15 years", C557&lt;=20, "16–20 years", TRUE, "21–25 years")</f>
        <v>16–20 years</v>
      </c>
    </row>
    <row r="558" spans="1:8" x14ac:dyDescent="0.3">
      <c r="A558" t="s">
        <v>1086</v>
      </c>
      <c r="B558" t="s">
        <v>50</v>
      </c>
      <c r="C558">
        <v>14</v>
      </c>
      <c r="D558" s="9">
        <v>91.8</v>
      </c>
      <c r="E558" t="s">
        <v>1043</v>
      </c>
      <c r="F558" s="10">
        <v>3083.58</v>
      </c>
      <c r="G558">
        <f>Meter[[#This Row],[EstimatedLoss_RM]]/0.8</f>
        <v>3854.4749999999999</v>
      </c>
      <c r="H558" t="str" cm="1">
        <f t="array" ref="H558">_xlfn.IFS(C558&lt;=5, "0–5 years", C558&lt;=10, "6–10 years", C558&lt;=15, "11–15 years", C558&lt;=20, "16–20 years", TRUE, "21–25 years")</f>
        <v>11–15 years</v>
      </c>
    </row>
    <row r="559" spans="1:8" x14ac:dyDescent="0.3">
      <c r="A559" t="s">
        <v>1692</v>
      </c>
      <c r="B559" t="s">
        <v>44</v>
      </c>
      <c r="C559">
        <v>19</v>
      </c>
      <c r="D559" s="2">
        <v>91.79</v>
      </c>
      <c r="E559" t="s">
        <v>1041</v>
      </c>
      <c r="F559" s="11">
        <v>3086.83</v>
      </c>
      <c r="G559">
        <f>Meter[[#This Row],[EstimatedLoss_RM]]/0.8</f>
        <v>3858.5374999999999</v>
      </c>
      <c r="H559" t="str" cm="1">
        <f t="array" ref="H559">_xlfn.IFS(C559&lt;=5, "0–5 years", C559&lt;=10, "6–10 years", C559&lt;=15, "11–15 years", C559&lt;=20, "16–20 years", TRUE, "21–25 years")</f>
        <v>16–20 years</v>
      </c>
    </row>
    <row r="560" spans="1:8" x14ac:dyDescent="0.3">
      <c r="A560" t="s">
        <v>1507</v>
      </c>
      <c r="B560" t="s">
        <v>38</v>
      </c>
      <c r="C560">
        <v>15</v>
      </c>
      <c r="D560" s="9">
        <v>91.78</v>
      </c>
      <c r="E560" t="s">
        <v>1043</v>
      </c>
      <c r="F560" s="10">
        <v>3096.54</v>
      </c>
      <c r="G560">
        <f>Meter[[#This Row],[EstimatedLoss_RM]]/0.8</f>
        <v>3870.6749999999997</v>
      </c>
      <c r="H560" t="str" cm="1">
        <f t="array" ref="H560">_xlfn.IFS(C560&lt;=5, "0–5 years", C560&lt;=10, "6–10 years", C560&lt;=15, "11–15 years", C560&lt;=20, "16–20 years", TRUE, "21–25 years")</f>
        <v>11–15 years</v>
      </c>
    </row>
    <row r="561" spans="1:8" x14ac:dyDescent="0.3">
      <c r="A561" t="s">
        <v>1405</v>
      </c>
      <c r="B561" t="s">
        <v>46</v>
      </c>
      <c r="C561">
        <v>15</v>
      </c>
      <c r="D561" s="2">
        <v>91.78</v>
      </c>
      <c r="E561" t="s">
        <v>1045</v>
      </c>
      <c r="F561" s="11">
        <v>3101.51</v>
      </c>
      <c r="G561">
        <f>Meter[[#This Row],[EstimatedLoss_RM]]/0.8</f>
        <v>3876.8875000000003</v>
      </c>
      <c r="H561" t="str" cm="1">
        <f t="array" ref="H561">_xlfn.IFS(C561&lt;=5, "0–5 years", C561&lt;=10, "6–10 years", C561&lt;=15, "11–15 years", C561&lt;=20, "16–20 years", TRUE, "21–25 years")</f>
        <v>11–15 years</v>
      </c>
    </row>
    <row r="562" spans="1:8" x14ac:dyDescent="0.3">
      <c r="A562" t="s">
        <v>1919</v>
      </c>
      <c r="B562" t="s">
        <v>45</v>
      </c>
      <c r="C562">
        <v>13</v>
      </c>
      <c r="D562" s="9">
        <v>91.76</v>
      </c>
      <c r="E562" t="s">
        <v>1045</v>
      </c>
      <c r="F562" s="10">
        <v>3103.17</v>
      </c>
      <c r="G562">
        <f>Meter[[#This Row],[EstimatedLoss_RM]]/0.8</f>
        <v>3878.9625000000001</v>
      </c>
      <c r="H562" t="str" cm="1">
        <f t="array" ref="H562">_xlfn.IFS(C562&lt;=5, "0–5 years", C562&lt;=10, "6–10 years", C562&lt;=15, "11–15 years", C562&lt;=20, "16–20 years", TRUE, "21–25 years")</f>
        <v>11–15 years</v>
      </c>
    </row>
    <row r="563" spans="1:8" x14ac:dyDescent="0.3">
      <c r="A563" t="s">
        <v>1511</v>
      </c>
      <c r="B563" t="s">
        <v>42</v>
      </c>
      <c r="C563">
        <v>13</v>
      </c>
      <c r="D563" s="2">
        <v>91.74</v>
      </c>
      <c r="E563" t="s">
        <v>1043</v>
      </c>
      <c r="F563" s="11">
        <v>3105.32</v>
      </c>
      <c r="G563">
        <f>Meter[[#This Row],[EstimatedLoss_RM]]/0.8</f>
        <v>3881.65</v>
      </c>
      <c r="H563" t="str" cm="1">
        <f t="array" ref="H563">_xlfn.IFS(C563&lt;=5, "0–5 years", C563&lt;=10, "6–10 years", C563&lt;=15, "11–15 years", C563&lt;=20, "16–20 years", TRUE, "21–25 years")</f>
        <v>11–15 years</v>
      </c>
    </row>
    <row r="564" spans="1:8" x14ac:dyDescent="0.3">
      <c r="A564" t="s">
        <v>1924</v>
      </c>
      <c r="B564" t="s">
        <v>50</v>
      </c>
      <c r="C564">
        <v>13</v>
      </c>
      <c r="D564" s="9">
        <v>91.74</v>
      </c>
      <c r="E564" t="s">
        <v>1041</v>
      </c>
      <c r="F564" s="10">
        <v>3119.67</v>
      </c>
      <c r="G564">
        <f>Meter[[#This Row],[EstimatedLoss_RM]]/0.8</f>
        <v>3899.5875000000001</v>
      </c>
      <c r="H564" t="str" cm="1">
        <f t="array" ref="H564">_xlfn.IFS(C564&lt;=5, "0–5 years", C564&lt;=10, "6–10 years", C564&lt;=15, "11–15 years", C564&lt;=20, "16–20 years", TRUE, "21–25 years")</f>
        <v>11–15 years</v>
      </c>
    </row>
    <row r="565" spans="1:8" x14ac:dyDescent="0.3">
      <c r="A565" t="s">
        <v>1321</v>
      </c>
      <c r="B565" t="s">
        <v>48</v>
      </c>
      <c r="C565">
        <v>16</v>
      </c>
      <c r="D565" s="2">
        <v>91.74</v>
      </c>
      <c r="E565" t="s">
        <v>1043</v>
      </c>
      <c r="F565" s="11">
        <v>3119.96</v>
      </c>
      <c r="G565">
        <f>Meter[[#This Row],[EstimatedLoss_RM]]/0.8</f>
        <v>3899.95</v>
      </c>
      <c r="H565" t="str" cm="1">
        <f t="array" ref="H565">_xlfn.IFS(C565&lt;=5, "0–5 years", C565&lt;=10, "6–10 years", C565&lt;=15, "11–15 years", C565&lt;=20, "16–20 years", TRUE, "21–25 years")</f>
        <v>16–20 years</v>
      </c>
    </row>
    <row r="566" spans="1:8" x14ac:dyDescent="0.3">
      <c r="A566" t="s">
        <v>1199</v>
      </c>
      <c r="B566" t="s">
        <v>38</v>
      </c>
      <c r="C566">
        <v>25</v>
      </c>
      <c r="D566" s="9">
        <v>91.73</v>
      </c>
      <c r="E566" t="s">
        <v>1045</v>
      </c>
      <c r="F566" s="10">
        <v>3124.1</v>
      </c>
      <c r="G566">
        <f>Meter[[#This Row],[EstimatedLoss_RM]]/0.8</f>
        <v>3905.1249999999995</v>
      </c>
      <c r="H566" t="str" cm="1">
        <f t="array" ref="H566">_xlfn.IFS(C566&lt;=5, "0–5 years", C566&lt;=10, "6–10 years", C566&lt;=15, "11–15 years", C566&lt;=20, "16–20 years", TRUE, "21–25 years")</f>
        <v>21–25 years</v>
      </c>
    </row>
    <row r="567" spans="1:8" x14ac:dyDescent="0.3">
      <c r="A567" t="s">
        <v>1796</v>
      </c>
      <c r="B567" t="s">
        <v>39</v>
      </c>
      <c r="C567">
        <v>21</v>
      </c>
      <c r="D567" s="2">
        <v>91.71</v>
      </c>
      <c r="E567" t="s">
        <v>1041</v>
      </c>
      <c r="F567" s="11">
        <v>3127.95</v>
      </c>
      <c r="G567">
        <f>Meter[[#This Row],[EstimatedLoss_RM]]/0.8</f>
        <v>3909.9374999999995</v>
      </c>
      <c r="H567" t="str" cm="1">
        <f t="array" ref="H567">_xlfn.IFS(C567&lt;=5, "0–5 years", C567&lt;=10, "6–10 years", C567&lt;=15, "11–15 years", C567&lt;=20, "16–20 years", TRUE, "21–25 years")</f>
        <v>21–25 years</v>
      </c>
    </row>
    <row r="568" spans="1:8" x14ac:dyDescent="0.3">
      <c r="A568" t="s">
        <v>1594</v>
      </c>
      <c r="B568" t="s">
        <v>38</v>
      </c>
      <c r="C568">
        <v>15</v>
      </c>
      <c r="D568" s="9">
        <v>91.69</v>
      </c>
      <c r="E568" t="s">
        <v>1043</v>
      </c>
      <c r="F568" s="10">
        <v>3138.04</v>
      </c>
      <c r="G568">
        <f>Meter[[#This Row],[EstimatedLoss_RM]]/0.8</f>
        <v>3922.5499999999997</v>
      </c>
      <c r="H568" t="str" cm="1">
        <f t="array" ref="H568">_xlfn.IFS(C568&lt;=5, "0–5 years", C568&lt;=10, "6–10 years", C568&lt;=15, "11–15 years", C568&lt;=20, "16–20 years", TRUE, "21–25 years")</f>
        <v>11–15 years</v>
      </c>
    </row>
    <row r="569" spans="1:8" x14ac:dyDescent="0.3">
      <c r="A569" t="s">
        <v>1442</v>
      </c>
      <c r="B569" t="s">
        <v>48</v>
      </c>
      <c r="C569">
        <v>22</v>
      </c>
      <c r="D569" s="2">
        <v>91.68</v>
      </c>
      <c r="E569" t="s">
        <v>1043</v>
      </c>
      <c r="F569" s="11">
        <v>3141.46</v>
      </c>
      <c r="G569">
        <f>Meter[[#This Row],[EstimatedLoss_RM]]/0.8</f>
        <v>3926.8249999999998</v>
      </c>
      <c r="H569" t="str" cm="1">
        <f t="array" ref="H569">_xlfn.IFS(C569&lt;=5, "0–5 years", C569&lt;=10, "6–10 years", C569&lt;=15, "11–15 years", C569&lt;=20, "16–20 years", TRUE, "21–25 years")</f>
        <v>21–25 years</v>
      </c>
    </row>
    <row r="570" spans="1:8" x14ac:dyDescent="0.3">
      <c r="A570" t="s">
        <v>1716</v>
      </c>
      <c r="B570" t="s">
        <v>40</v>
      </c>
      <c r="C570">
        <v>14</v>
      </c>
      <c r="D570" s="9">
        <v>91.66</v>
      </c>
      <c r="E570" t="s">
        <v>1045</v>
      </c>
      <c r="F570" s="10">
        <v>3143.74</v>
      </c>
      <c r="G570">
        <f>Meter[[#This Row],[EstimatedLoss_RM]]/0.8</f>
        <v>3929.6749999999997</v>
      </c>
      <c r="H570" t="str" cm="1">
        <f t="array" ref="H570">_xlfn.IFS(C570&lt;=5, "0–5 years", C570&lt;=10, "6–10 years", C570&lt;=15, "11–15 years", C570&lt;=20, "16–20 years", TRUE, "21–25 years")</f>
        <v>11–15 years</v>
      </c>
    </row>
    <row r="571" spans="1:8" x14ac:dyDescent="0.3">
      <c r="A571" t="s">
        <v>1833</v>
      </c>
      <c r="B571" t="s">
        <v>44</v>
      </c>
      <c r="C571">
        <v>18</v>
      </c>
      <c r="D571" s="2">
        <v>91.66</v>
      </c>
      <c r="E571" t="s">
        <v>1041</v>
      </c>
      <c r="F571" s="11">
        <v>3147.95</v>
      </c>
      <c r="G571">
        <f>Meter[[#This Row],[EstimatedLoss_RM]]/0.8</f>
        <v>3934.9374999999995</v>
      </c>
      <c r="H571" t="str" cm="1">
        <f t="array" ref="H571">_xlfn.IFS(C571&lt;=5, "0–5 years", C571&lt;=10, "6–10 years", C571&lt;=15, "11–15 years", C571&lt;=20, "16–20 years", TRUE, "21–25 years")</f>
        <v>16–20 years</v>
      </c>
    </row>
    <row r="572" spans="1:8" x14ac:dyDescent="0.3">
      <c r="A572" t="s">
        <v>1179</v>
      </c>
      <c r="B572" t="s">
        <v>46</v>
      </c>
      <c r="C572">
        <v>12</v>
      </c>
      <c r="D572" s="9">
        <v>91.63</v>
      </c>
      <c r="E572" t="s">
        <v>1041</v>
      </c>
      <c r="F572" s="10">
        <v>3156.13</v>
      </c>
      <c r="G572">
        <f>Meter[[#This Row],[EstimatedLoss_RM]]/0.8</f>
        <v>3945.1624999999999</v>
      </c>
      <c r="H572" t="str" cm="1">
        <f t="array" ref="H572">_xlfn.IFS(C572&lt;=5, "0–5 years", C572&lt;=10, "6–10 years", C572&lt;=15, "11–15 years", C572&lt;=20, "16–20 years", TRUE, "21–25 years")</f>
        <v>11–15 years</v>
      </c>
    </row>
    <row r="573" spans="1:8" x14ac:dyDescent="0.3">
      <c r="A573" t="s">
        <v>1181</v>
      </c>
      <c r="B573" t="s">
        <v>44</v>
      </c>
      <c r="C573">
        <v>20</v>
      </c>
      <c r="D573" s="2">
        <v>91.63</v>
      </c>
      <c r="E573" t="s">
        <v>1043</v>
      </c>
      <c r="F573" s="11">
        <v>3158.99</v>
      </c>
      <c r="G573">
        <f>Meter[[#This Row],[EstimatedLoss_RM]]/0.8</f>
        <v>3948.7374999999997</v>
      </c>
      <c r="H573" t="str" cm="1">
        <f t="array" ref="H573">_xlfn.IFS(C573&lt;=5, "0–5 years", C573&lt;=10, "6–10 years", C573&lt;=15, "11–15 years", C573&lt;=20, "16–20 years", TRUE, "21–25 years")</f>
        <v>16–20 years</v>
      </c>
    </row>
    <row r="574" spans="1:8" x14ac:dyDescent="0.3">
      <c r="A574" t="s">
        <v>1106</v>
      </c>
      <c r="B574" t="s">
        <v>38</v>
      </c>
      <c r="C574">
        <v>10</v>
      </c>
      <c r="D574" s="9">
        <v>91.61</v>
      </c>
      <c r="E574" t="s">
        <v>1045</v>
      </c>
      <c r="F574" s="10">
        <v>3164.27</v>
      </c>
      <c r="G574">
        <f>Meter[[#This Row],[EstimatedLoss_RM]]/0.8</f>
        <v>3955.3374999999996</v>
      </c>
      <c r="H574" t="str" cm="1">
        <f t="array" ref="H574">_xlfn.IFS(C574&lt;=5, "0–5 years", C574&lt;=10, "6–10 years", C574&lt;=15, "11–15 years", C574&lt;=20, "16–20 years", TRUE, "21–25 years")</f>
        <v>6–10 years</v>
      </c>
    </row>
    <row r="575" spans="1:8" x14ac:dyDescent="0.3">
      <c r="A575" t="s">
        <v>1568</v>
      </c>
      <c r="B575" t="s">
        <v>52</v>
      </c>
      <c r="C575">
        <v>7</v>
      </c>
      <c r="D575" s="2">
        <v>91.59</v>
      </c>
      <c r="E575" t="s">
        <v>1043</v>
      </c>
      <c r="F575" s="11">
        <v>3164.28</v>
      </c>
      <c r="G575">
        <f>Meter[[#This Row],[EstimatedLoss_RM]]/0.8</f>
        <v>3955.35</v>
      </c>
      <c r="H575" t="str" cm="1">
        <f t="array" ref="H575">_xlfn.IFS(C575&lt;=5, "0–5 years", C575&lt;=10, "6–10 years", C575&lt;=15, "11–15 years", C575&lt;=20, "16–20 years", TRUE, "21–25 years")</f>
        <v>6–10 years</v>
      </c>
    </row>
    <row r="576" spans="1:8" x14ac:dyDescent="0.3">
      <c r="A576" t="s">
        <v>1370</v>
      </c>
      <c r="B576" t="s">
        <v>41</v>
      </c>
      <c r="C576">
        <v>20</v>
      </c>
      <c r="D576" s="9">
        <v>91.58</v>
      </c>
      <c r="E576" t="s">
        <v>1043</v>
      </c>
      <c r="F576" s="10">
        <v>3172.25</v>
      </c>
      <c r="G576">
        <f>Meter[[#This Row],[EstimatedLoss_RM]]/0.8</f>
        <v>3965.3125</v>
      </c>
      <c r="H576" t="str" cm="1">
        <f t="array" ref="H576">_xlfn.IFS(C576&lt;=5, "0–5 years", C576&lt;=10, "6–10 years", C576&lt;=15, "11–15 years", C576&lt;=20, "16–20 years", TRUE, "21–25 years")</f>
        <v>16–20 years</v>
      </c>
    </row>
    <row r="577" spans="1:8" x14ac:dyDescent="0.3">
      <c r="A577" t="s">
        <v>1896</v>
      </c>
      <c r="B577" t="s">
        <v>53</v>
      </c>
      <c r="C577">
        <v>22</v>
      </c>
      <c r="D577" s="2">
        <v>91.58</v>
      </c>
      <c r="E577" t="s">
        <v>1045</v>
      </c>
      <c r="F577" s="11">
        <v>3172.89</v>
      </c>
      <c r="G577">
        <f>Meter[[#This Row],[EstimatedLoss_RM]]/0.8</f>
        <v>3966.1124999999997</v>
      </c>
      <c r="H577" t="str" cm="1">
        <f t="array" ref="H577">_xlfn.IFS(C577&lt;=5, "0–5 years", C577&lt;=10, "6–10 years", C577&lt;=15, "11–15 years", C577&lt;=20, "16–20 years", TRUE, "21–25 years")</f>
        <v>21–25 years</v>
      </c>
    </row>
    <row r="578" spans="1:8" x14ac:dyDescent="0.3">
      <c r="A578" t="s">
        <v>1397</v>
      </c>
      <c r="B578" t="s">
        <v>50</v>
      </c>
      <c r="C578">
        <v>16</v>
      </c>
      <c r="D578" s="9">
        <v>91.56</v>
      </c>
      <c r="E578" t="s">
        <v>1045</v>
      </c>
      <c r="F578" s="10">
        <v>3176.96</v>
      </c>
      <c r="G578">
        <f>Meter[[#This Row],[EstimatedLoss_RM]]/0.8</f>
        <v>3971.2</v>
      </c>
      <c r="H578" t="str" cm="1">
        <f t="array" ref="H578">_xlfn.IFS(C578&lt;=5, "0–5 years", C578&lt;=10, "6–10 years", C578&lt;=15, "11–15 years", C578&lt;=20, "16–20 years", TRUE, "21–25 years")</f>
        <v>16–20 years</v>
      </c>
    </row>
    <row r="579" spans="1:8" x14ac:dyDescent="0.3">
      <c r="A579" t="s">
        <v>1877</v>
      </c>
      <c r="B579" t="s">
        <v>41</v>
      </c>
      <c r="C579">
        <v>16</v>
      </c>
      <c r="D579" s="2">
        <v>91.53</v>
      </c>
      <c r="E579" t="s">
        <v>1043</v>
      </c>
      <c r="F579" s="11">
        <v>3189.66</v>
      </c>
      <c r="G579">
        <f>Meter[[#This Row],[EstimatedLoss_RM]]/0.8</f>
        <v>3987.0749999999998</v>
      </c>
      <c r="H579" t="str" cm="1">
        <f t="array" ref="H579">_xlfn.IFS(C579&lt;=5, "0–5 years", C579&lt;=10, "6–10 years", C579&lt;=15, "11–15 years", C579&lt;=20, "16–20 years", TRUE, "21–25 years")</f>
        <v>16–20 years</v>
      </c>
    </row>
    <row r="580" spans="1:8" x14ac:dyDescent="0.3">
      <c r="A580" t="s">
        <v>1207</v>
      </c>
      <c r="B580" t="s">
        <v>47</v>
      </c>
      <c r="C580">
        <v>21</v>
      </c>
      <c r="D580" s="9">
        <v>91.53</v>
      </c>
      <c r="E580" t="s">
        <v>1043</v>
      </c>
      <c r="F580" s="10">
        <v>3184.8</v>
      </c>
      <c r="G580">
        <f>Meter[[#This Row],[EstimatedLoss_RM]]/0.8</f>
        <v>3981</v>
      </c>
      <c r="H580" t="str" cm="1">
        <f t="array" ref="H580">_xlfn.IFS(C580&lt;=5, "0–5 years", C580&lt;=10, "6–10 years", C580&lt;=15, "11–15 years", C580&lt;=20, "16–20 years", TRUE, "21–25 years")</f>
        <v>21–25 years</v>
      </c>
    </row>
    <row r="581" spans="1:8" x14ac:dyDescent="0.3">
      <c r="A581" t="s">
        <v>1113</v>
      </c>
      <c r="B581" t="s">
        <v>50</v>
      </c>
      <c r="C581">
        <v>18</v>
      </c>
      <c r="D581" s="2">
        <v>91.52</v>
      </c>
      <c r="E581" t="s">
        <v>1045</v>
      </c>
      <c r="F581" s="11">
        <v>3190.24</v>
      </c>
      <c r="G581">
        <f>Meter[[#This Row],[EstimatedLoss_RM]]/0.8</f>
        <v>3987.7999999999997</v>
      </c>
      <c r="H581" t="str" cm="1">
        <f t="array" ref="H581">_xlfn.IFS(C581&lt;=5, "0–5 years", C581&lt;=10, "6–10 years", C581&lt;=15, "11–15 years", C581&lt;=20, "16–20 years", TRUE, "21–25 years")</f>
        <v>16–20 years</v>
      </c>
    </row>
    <row r="582" spans="1:8" x14ac:dyDescent="0.3">
      <c r="A582" t="s">
        <v>1369</v>
      </c>
      <c r="B582" t="s">
        <v>44</v>
      </c>
      <c r="C582">
        <v>22</v>
      </c>
      <c r="D582" s="9">
        <v>91.52</v>
      </c>
      <c r="E582" t="s">
        <v>1043</v>
      </c>
      <c r="F582" s="10">
        <v>3209.35</v>
      </c>
      <c r="G582">
        <f>Meter[[#This Row],[EstimatedLoss_RM]]/0.8</f>
        <v>4011.6874999999995</v>
      </c>
      <c r="H582" t="str" cm="1">
        <f t="array" ref="H582">_xlfn.IFS(C582&lt;=5, "0–5 years", C582&lt;=10, "6–10 years", C582&lt;=15, "11–15 years", C582&lt;=20, "16–20 years", TRUE, "21–25 years")</f>
        <v>21–25 years</v>
      </c>
    </row>
    <row r="583" spans="1:8" x14ac:dyDescent="0.3">
      <c r="A583" t="s">
        <v>1832</v>
      </c>
      <c r="B583" t="s">
        <v>43</v>
      </c>
      <c r="C583">
        <v>8</v>
      </c>
      <c r="D583" s="2">
        <v>91.48</v>
      </c>
      <c r="E583" t="s">
        <v>1043</v>
      </c>
      <c r="F583" s="11">
        <v>3212.33</v>
      </c>
      <c r="G583">
        <f>Meter[[#This Row],[EstimatedLoss_RM]]/0.8</f>
        <v>4015.4124999999999</v>
      </c>
      <c r="H583" t="str" cm="1">
        <f t="array" ref="H583">_xlfn.IFS(C583&lt;=5, "0–5 years", C583&lt;=10, "6–10 years", C583&lt;=15, "11–15 years", C583&lt;=20, "16–20 years", TRUE, "21–25 years")</f>
        <v>6–10 years</v>
      </c>
    </row>
    <row r="584" spans="1:8" x14ac:dyDescent="0.3">
      <c r="A584" t="s">
        <v>1843</v>
      </c>
      <c r="B584" t="s">
        <v>38</v>
      </c>
      <c r="C584">
        <v>21</v>
      </c>
      <c r="D584" s="9">
        <v>91.48</v>
      </c>
      <c r="E584" t="s">
        <v>1041</v>
      </c>
      <c r="F584" s="10">
        <v>3213.95</v>
      </c>
      <c r="G584">
        <f>Meter[[#This Row],[EstimatedLoss_RM]]/0.8</f>
        <v>4017.4374999999995</v>
      </c>
      <c r="H584" t="str" cm="1">
        <f t="array" ref="H584">_xlfn.IFS(C584&lt;=5, "0–5 years", C584&lt;=10, "6–10 years", C584&lt;=15, "11–15 years", C584&lt;=20, "16–20 years", TRUE, "21–25 years")</f>
        <v>21–25 years</v>
      </c>
    </row>
    <row r="585" spans="1:8" x14ac:dyDescent="0.3">
      <c r="A585" t="s">
        <v>1046</v>
      </c>
      <c r="B585" t="s">
        <v>48</v>
      </c>
      <c r="C585">
        <v>24</v>
      </c>
      <c r="D585" s="2">
        <v>91.45</v>
      </c>
      <c r="E585" t="s">
        <v>1041</v>
      </c>
      <c r="F585" s="11">
        <v>3216.21</v>
      </c>
      <c r="G585">
        <f>Meter[[#This Row],[EstimatedLoss_RM]]/0.8</f>
        <v>4020.2624999999998</v>
      </c>
      <c r="H585" t="str" cm="1">
        <f t="array" ref="H585">_xlfn.IFS(C585&lt;=5, "0–5 years", C585&lt;=10, "6–10 years", C585&lt;=15, "11–15 years", C585&lt;=20, "16–20 years", TRUE, "21–25 years")</f>
        <v>21–25 years</v>
      </c>
    </row>
    <row r="586" spans="1:8" x14ac:dyDescent="0.3">
      <c r="A586" t="s">
        <v>1735</v>
      </c>
      <c r="B586" t="s">
        <v>50</v>
      </c>
      <c r="C586">
        <v>11</v>
      </c>
      <c r="D586" s="9">
        <v>91.44</v>
      </c>
      <c r="E586" t="s">
        <v>1041</v>
      </c>
      <c r="F586" s="10">
        <v>3217.65</v>
      </c>
      <c r="G586">
        <f>Meter[[#This Row],[EstimatedLoss_RM]]/0.8</f>
        <v>4022.0625</v>
      </c>
      <c r="H586" t="str" cm="1">
        <f t="array" ref="H586">_xlfn.IFS(C586&lt;=5, "0–5 years", C586&lt;=10, "6–10 years", C586&lt;=15, "11–15 years", C586&lt;=20, "16–20 years", TRUE, "21–25 years")</f>
        <v>11–15 years</v>
      </c>
    </row>
    <row r="587" spans="1:8" x14ac:dyDescent="0.3">
      <c r="A587" t="s">
        <v>1357</v>
      </c>
      <c r="B587" t="s">
        <v>49</v>
      </c>
      <c r="C587">
        <v>23</v>
      </c>
      <c r="D587" s="2">
        <v>91.41</v>
      </c>
      <c r="E587" t="s">
        <v>1045</v>
      </c>
      <c r="F587" s="11">
        <v>3221.81</v>
      </c>
      <c r="G587">
        <f>Meter[[#This Row],[EstimatedLoss_RM]]/0.8</f>
        <v>4027.2624999999998</v>
      </c>
      <c r="H587" t="str" cm="1">
        <f t="array" ref="H587">_xlfn.IFS(C587&lt;=5, "0–5 years", C587&lt;=10, "6–10 years", C587&lt;=15, "11–15 years", C587&lt;=20, "16–20 years", TRUE, "21–25 years")</f>
        <v>21–25 years</v>
      </c>
    </row>
    <row r="588" spans="1:8" x14ac:dyDescent="0.3">
      <c r="A588" t="s">
        <v>1698</v>
      </c>
      <c r="B588" t="s">
        <v>38</v>
      </c>
      <c r="C588">
        <v>17</v>
      </c>
      <c r="D588" s="9">
        <v>91.32</v>
      </c>
      <c r="E588" t="s">
        <v>1041</v>
      </c>
      <c r="F588" s="10">
        <v>3223.13</v>
      </c>
      <c r="G588">
        <f>Meter[[#This Row],[EstimatedLoss_RM]]/0.8</f>
        <v>4028.9124999999999</v>
      </c>
      <c r="H588" t="str" cm="1">
        <f t="array" ref="H588">_xlfn.IFS(C588&lt;=5, "0–5 years", C588&lt;=10, "6–10 years", C588&lt;=15, "11–15 years", C588&lt;=20, "16–20 years", TRUE, "21–25 years")</f>
        <v>16–20 years</v>
      </c>
    </row>
    <row r="589" spans="1:8" x14ac:dyDescent="0.3">
      <c r="A589" t="s">
        <v>1747</v>
      </c>
      <c r="B589" t="s">
        <v>48</v>
      </c>
      <c r="C589">
        <v>9</v>
      </c>
      <c r="D589" s="2">
        <v>91.29</v>
      </c>
      <c r="E589" t="s">
        <v>1045</v>
      </c>
      <c r="F589" s="11">
        <v>3233.78</v>
      </c>
      <c r="G589">
        <f>Meter[[#This Row],[EstimatedLoss_RM]]/0.8</f>
        <v>4042.2249999999999</v>
      </c>
      <c r="H589" t="str" cm="1">
        <f t="array" ref="H589">_xlfn.IFS(C589&lt;=5, "0–5 years", C589&lt;=10, "6–10 years", C589&lt;=15, "11–15 years", C589&lt;=20, "16–20 years", TRUE, "21–25 years")</f>
        <v>6–10 years</v>
      </c>
    </row>
    <row r="590" spans="1:8" x14ac:dyDescent="0.3">
      <c r="A590" t="s">
        <v>1212</v>
      </c>
      <c r="B590" t="s">
        <v>45</v>
      </c>
      <c r="C590">
        <v>13</v>
      </c>
      <c r="D590" s="9">
        <v>91.29</v>
      </c>
      <c r="E590" t="s">
        <v>1043</v>
      </c>
      <c r="F590" s="10">
        <v>3228.87</v>
      </c>
      <c r="G590">
        <f>Meter[[#This Row],[EstimatedLoss_RM]]/0.8</f>
        <v>4036.0874999999996</v>
      </c>
      <c r="H590" t="str" cm="1">
        <f t="array" ref="H590">_xlfn.IFS(C590&lt;=5, "0–5 years", C590&lt;=10, "6–10 years", C590&lt;=15, "11–15 years", C590&lt;=20, "16–20 years", TRUE, "21–25 years")</f>
        <v>11–15 years</v>
      </c>
    </row>
    <row r="591" spans="1:8" x14ac:dyDescent="0.3">
      <c r="A591" t="s">
        <v>1278</v>
      </c>
      <c r="B591" t="s">
        <v>44</v>
      </c>
      <c r="C591">
        <v>20</v>
      </c>
      <c r="D591" s="2">
        <v>91.27</v>
      </c>
      <c r="E591" t="s">
        <v>1045</v>
      </c>
      <c r="F591" s="11">
        <v>3253.97</v>
      </c>
      <c r="G591">
        <f>Meter[[#This Row],[EstimatedLoss_RM]]/0.8</f>
        <v>4067.4624999999996</v>
      </c>
      <c r="H591" t="str" cm="1">
        <f t="array" ref="H591">_xlfn.IFS(C591&lt;=5, "0–5 years", C591&lt;=10, "6–10 years", C591&lt;=15, "11–15 years", C591&lt;=20, "16–20 years", TRUE, "21–25 years")</f>
        <v>16–20 years</v>
      </c>
    </row>
    <row r="592" spans="1:8" x14ac:dyDescent="0.3">
      <c r="A592" t="s">
        <v>1842</v>
      </c>
      <c r="B592" t="s">
        <v>45</v>
      </c>
      <c r="C592">
        <v>17</v>
      </c>
      <c r="D592" s="9">
        <v>91.26</v>
      </c>
      <c r="E592" t="s">
        <v>1041</v>
      </c>
      <c r="F592" s="10">
        <v>3260</v>
      </c>
      <c r="G592">
        <f>Meter[[#This Row],[EstimatedLoss_RM]]/0.8</f>
        <v>4075</v>
      </c>
      <c r="H592" t="str" cm="1">
        <f t="array" ref="H592">_xlfn.IFS(C592&lt;=5, "0–5 years", C592&lt;=10, "6–10 years", C592&lt;=15, "11–15 years", C592&lt;=20, "16–20 years", TRUE, "21–25 years")</f>
        <v>16–20 years</v>
      </c>
    </row>
    <row r="593" spans="1:8" x14ac:dyDescent="0.3">
      <c r="A593" t="s">
        <v>1920</v>
      </c>
      <c r="B593" t="s">
        <v>41</v>
      </c>
      <c r="C593">
        <v>18</v>
      </c>
      <c r="D593" s="2">
        <v>91.25</v>
      </c>
      <c r="E593" t="s">
        <v>1041</v>
      </c>
      <c r="F593" s="11">
        <v>3262.75</v>
      </c>
      <c r="G593">
        <f>Meter[[#This Row],[EstimatedLoss_RM]]/0.8</f>
        <v>4078.4375</v>
      </c>
      <c r="H593" t="str" cm="1">
        <f t="array" ref="H593">_xlfn.IFS(C593&lt;=5, "0–5 years", C593&lt;=10, "6–10 years", C593&lt;=15, "11–15 years", C593&lt;=20, "16–20 years", TRUE, "21–25 years")</f>
        <v>16–20 years</v>
      </c>
    </row>
    <row r="594" spans="1:8" x14ac:dyDescent="0.3">
      <c r="A594" t="s">
        <v>1358</v>
      </c>
      <c r="B594" t="s">
        <v>43</v>
      </c>
      <c r="C594">
        <v>17</v>
      </c>
      <c r="D594" s="9">
        <v>91.24</v>
      </c>
      <c r="E594" t="s">
        <v>1045</v>
      </c>
      <c r="F594" s="10">
        <v>3267.58</v>
      </c>
      <c r="G594">
        <f>Meter[[#This Row],[EstimatedLoss_RM]]/0.8</f>
        <v>4084.4749999999999</v>
      </c>
      <c r="H594" t="str" cm="1">
        <f t="array" ref="H594">_xlfn.IFS(C594&lt;=5, "0–5 years", C594&lt;=10, "6–10 years", C594&lt;=15, "11–15 years", C594&lt;=20, "16–20 years", TRUE, "21–25 years")</f>
        <v>16–20 years</v>
      </c>
    </row>
    <row r="595" spans="1:8" x14ac:dyDescent="0.3">
      <c r="A595" t="s">
        <v>1473</v>
      </c>
      <c r="B595" t="s">
        <v>42</v>
      </c>
      <c r="C595">
        <v>11</v>
      </c>
      <c r="D595" s="2">
        <v>91.23</v>
      </c>
      <c r="E595" t="s">
        <v>1045</v>
      </c>
      <c r="F595" s="11">
        <v>3289.66</v>
      </c>
      <c r="G595">
        <f>Meter[[#This Row],[EstimatedLoss_RM]]/0.8</f>
        <v>4112.0749999999998</v>
      </c>
      <c r="H595" t="str" cm="1">
        <f t="array" ref="H595">_xlfn.IFS(C595&lt;=5, "0–5 years", C595&lt;=10, "6–10 years", C595&lt;=15, "11–15 years", C595&lt;=20, "16–20 years", TRUE, "21–25 years")</f>
        <v>11–15 years</v>
      </c>
    </row>
    <row r="596" spans="1:8" x14ac:dyDescent="0.3">
      <c r="A596" t="s">
        <v>1588</v>
      </c>
      <c r="B596" t="s">
        <v>42</v>
      </c>
      <c r="C596">
        <v>13</v>
      </c>
      <c r="D596" s="9">
        <v>91.21</v>
      </c>
      <c r="E596" t="s">
        <v>1045</v>
      </c>
      <c r="F596" s="10">
        <v>3290.71</v>
      </c>
      <c r="G596">
        <f>Meter[[#This Row],[EstimatedLoss_RM]]/0.8</f>
        <v>4113.3874999999998</v>
      </c>
      <c r="H596" t="str" cm="1">
        <f t="array" ref="H596">_xlfn.IFS(C596&lt;=5, "0–5 years", C596&lt;=10, "6–10 years", C596&lt;=15, "11–15 years", C596&lt;=20, "16–20 years", TRUE, "21–25 years")</f>
        <v>11–15 years</v>
      </c>
    </row>
    <row r="597" spans="1:8" x14ac:dyDescent="0.3">
      <c r="A597" t="s">
        <v>1406</v>
      </c>
      <c r="B597" t="s">
        <v>40</v>
      </c>
      <c r="C597">
        <v>19</v>
      </c>
      <c r="D597" s="2">
        <v>91.2</v>
      </c>
      <c r="E597" t="s">
        <v>1041</v>
      </c>
      <c r="F597" s="11">
        <v>3291.81</v>
      </c>
      <c r="G597">
        <f>Meter[[#This Row],[EstimatedLoss_RM]]/0.8</f>
        <v>4114.7624999999998</v>
      </c>
      <c r="H597" t="str" cm="1">
        <f t="array" ref="H597">_xlfn.IFS(C597&lt;=5, "0–5 years", C597&lt;=10, "6–10 years", C597&lt;=15, "11–15 years", C597&lt;=20, "16–20 years", TRUE, "21–25 years")</f>
        <v>16–20 years</v>
      </c>
    </row>
    <row r="598" spans="1:8" x14ac:dyDescent="0.3">
      <c r="A598" t="s">
        <v>1737</v>
      </c>
      <c r="B598" t="s">
        <v>43</v>
      </c>
      <c r="C598">
        <v>20</v>
      </c>
      <c r="D598" s="9">
        <v>91.19</v>
      </c>
      <c r="E598" t="s">
        <v>1041</v>
      </c>
      <c r="F598" s="10">
        <v>3295.93</v>
      </c>
      <c r="G598">
        <f>Meter[[#This Row],[EstimatedLoss_RM]]/0.8</f>
        <v>4119.9124999999995</v>
      </c>
      <c r="H598" t="str" cm="1">
        <f t="array" ref="H598">_xlfn.IFS(C598&lt;=5, "0–5 years", C598&lt;=10, "6–10 years", C598&lt;=15, "11–15 years", C598&lt;=20, "16–20 years", TRUE, "21–25 years")</f>
        <v>16–20 years</v>
      </c>
    </row>
    <row r="599" spans="1:8" x14ac:dyDescent="0.3">
      <c r="A599" t="s">
        <v>1667</v>
      </c>
      <c r="B599" t="s">
        <v>50</v>
      </c>
      <c r="C599">
        <v>25</v>
      </c>
      <c r="D599" s="2">
        <v>91.19</v>
      </c>
      <c r="E599" t="s">
        <v>1045</v>
      </c>
      <c r="F599" s="11">
        <v>3301.06</v>
      </c>
      <c r="G599">
        <f>Meter[[#This Row],[EstimatedLoss_RM]]/0.8</f>
        <v>4126.3249999999998</v>
      </c>
      <c r="H599" t="str" cm="1">
        <f t="array" ref="H599">_xlfn.IFS(C599&lt;=5, "0–5 years", C599&lt;=10, "6–10 years", C599&lt;=15, "11–15 years", C599&lt;=20, "16–20 years", TRUE, "21–25 years")</f>
        <v>21–25 years</v>
      </c>
    </row>
    <row r="600" spans="1:8" x14ac:dyDescent="0.3">
      <c r="A600" t="s">
        <v>1280</v>
      </c>
      <c r="B600" t="s">
        <v>52</v>
      </c>
      <c r="C600">
        <v>18</v>
      </c>
      <c r="D600" s="9">
        <v>91.17</v>
      </c>
      <c r="E600" t="s">
        <v>1045</v>
      </c>
      <c r="F600" s="10">
        <v>3312.97</v>
      </c>
      <c r="G600">
        <f>Meter[[#This Row],[EstimatedLoss_RM]]/0.8</f>
        <v>4141.2124999999996</v>
      </c>
      <c r="H600" t="str" cm="1">
        <f t="array" ref="H600">_xlfn.IFS(C600&lt;=5, "0–5 years", C600&lt;=10, "6–10 years", C600&lt;=15, "11–15 years", C600&lt;=20, "16–20 years", TRUE, "21–25 years")</f>
        <v>16–20 years</v>
      </c>
    </row>
    <row r="601" spans="1:8" x14ac:dyDescent="0.3">
      <c r="A601" t="s">
        <v>1167</v>
      </c>
      <c r="B601" t="s">
        <v>52</v>
      </c>
      <c r="C601">
        <v>20</v>
      </c>
      <c r="D601" s="2">
        <v>91.17</v>
      </c>
      <c r="E601" t="s">
        <v>1045</v>
      </c>
      <c r="F601" s="11">
        <v>3305.46</v>
      </c>
      <c r="G601">
        <f>Meter[[#This Row],[EstimatedLoss_RM]]/0.8</f>
        <v>4131.8249999999998</v>
      </c>
      <c r="H601" t="str" cm="1">
        <f t="array" ref="H601">_xlfn.IFS(C601&lt;=5, "0–5 years", C601&lt;=10, "6–10 years", C601&lt;=15, "11–15 years", C601&lt;=20, "16–20 years", TRUE, "21–25 years")</f>
        <v>16–20 years</v>
      </c>
    </row>
    <row r="602" spans="1:8" x14ac:dyDescent="0.3">
      <c r="A602" t="s">
        <v>1258</v>
      </c>
      <c r="B602" t="s">
        <v>48</v>
      </c>
      <c r="C602">
        <v>21</v>
      </c>
      <c r="D602" s="9">
        <v>91.12</v>
      </c>
      <c r="E602" t="s">
        <v>1041</v>
      </c>
      <c r="F602" s="10">
        <v>3327.47</v>
      </c>
      <c r="G602">
        <f>Meter[[#This Row],[EstimatedLoss_RM]]/0.8</f>
        <v>4159.3374999999996</v>
      </c>
      <c r="H602" t="str" cm="1">
        <f t="array" ref="H602">_xlfn.IFS(C602&lt;=5, "0–5 years", C602&lt;=10, "6–10 years", C602&lt;=15, "11–15 years", C602&lt;=20, "16–20 years", TRUE, "21–25 years")</f>
        <v>21–25 years</v>
      </c>
    </row>
    <row r="603" spans="1:8" x14ac:dyDescent="0.3">
      <c r="A603" t="s">
        <v>1124</v>
      </c>
      <c r="B603" t="s">
        <v>49</v>
      </c>
      <c r="C603">
        <v>19</v>
      </c>
      <c r="D603" s="2">
        <v>91.11</v>
      </c>
      <c r="E603" t="s">
        <v>1041</v>
      </c>
      <c r="F603" s="11">
        <v>3330.25</v>
      </c>
      <c r="G603">
        <f>Meter[[#This Row],[EstimatedLoss_RM]]/0.8</f>
        <v>4162.8125</v>
      </c>
      <c r="H603" t="str" cm="1">
        <f t="array" ref="H603">_xlfn.IFS(C603&lt;=5, "0–5 years", C603&lt;=10, "6–10 years", C603&lt;=15, "11–15 years", C603&lt;=20, "16–20 years", TRUE, "21–25 years")</f>
        <v>16–20 years</v>
      </c>
    </row>
    <row r="604" spans="1:8" x14ac:dyDescent="0.3">
      <c r="A604" t="s">
        <v>1554</v>
      </c>
      <c r="B604" t="s">
        <v>49</v>
      </c>
      <c r="C604">
        <v>17</v>
      </c>
      <c r="D604" s="9">
        <v>91.1</v>
      </c>
      <c r="E604" t="s">
        <v>1041</v>
      </c>
      <c r="F604" s="10">
        <v>3333.75</v>
      </c>
      <c r="G604">
        <f>Meter[[#This Row],[EstimatedLoss_RM]]/0.8</f>
        <v>4167.1875</v>
      </c>
      <c r="H604" t="str" cm="1">
        <f t="array" ref="H604">_xlfn.IFS(C604&lt;=5, "0–5 years", C604&lt;=10, "6–10 years", C604&lt;=15, "11–15 years", C604&lt;=20, "16–20 years", TRUE, "21–25 years")</f>
        <v>16–20 years</v>
      </c>
    </row>
    <row r="605" spans="1:8" x14ac:dyDescent="0.3">
      <c r="A605" t="s">
        <v>1161</v>
      </c>
      <c r="B605" t="s">
        <v>50</v>
      </c>
      <c r="C605">
        <v>23</v>
      </c>
      <c r="D605" s="2">
        <v>91.09</v>
      </c>
      <c r="E605" t="s">
        <v>1041</v>
      </c>
      <c r="F605" s="11">
        <v>3336.65</v>
      </c>
      <c r="G605">
        <f>Meter[[#This Row],[EstimatedLoss_RM]]/0.8</f>
        <v>4170.8125</v>
      </c>
      <c r="H605" t="str" cm="1">
        <f t="array" ref="H605">_xlfn.IFS(C605&lt;=5, "0–5 years", C605&lt;=10, "6–10 years", C605&lt;=15, "11–15 years", C605&lt;=20, "16–20 years", TRUE, "21–25 years")</f>
        <v>21–25 years</v>
      </c>
    </row>
    <row r="606" spans="1:8" x14ac:dyDescent="0.3">
      <c r="A606" t="s">
        <v>1076</v>
      </c>
      <c r="B606" t="s">
        <v>52</v>
      </c>
      <c r="C606">
        <v>12</v>
      </c>
      <c r="D606" s="9">
        <v>91.08</v>
      </c>
      <c r="E606" t="s">
        <v>1041</v>
      </c>
      <c r="F606" s="10">
        <v>3368.9</v>
      </c>
      <c r="G606">
        <f>Meter[[#This Row],[EstimatedLoss_RM]]/0.8</f>
        <v>4211.125</v>
      </c>
      <c r="H606" t="str" cm="1">
        <f t="array" ref="H606">_xlfn.IFS(C606&lt;=5, "0–5 years", C606&lt;=10, "6–10 years", C606&lt;=15, "11–15 years", C606&lt;=20, "16–20 years", TRUE, "21–25 years")</f>
        <v>11–15 years</v>
      </c>
    </row>
    <row r="607" spans="1:8" x14ac:dyDescent="0.3">
      <c r="A607" t="s">
        <v>1536</v>
      </c>
      <c r="B607" t="s">
        <v>46</v>
      </c>
      <c r="C607">
        <v>13</v>
      </c>
      <c r="D607" s="2">
        <v>91.08</v>
      </c>
      <c r="E607" t="s">
        <v>1045</v>
      </c>
      <c r="F607" s="11">
        <v>3374.22</v>
      </c>
      <c r="G607">
        <f>Meter[[#This Row],[EstimatedLoss_RM]]/0.8</f>
        <v>4217.7749999999996</v>
      </c>
      <c r="H607" t="str" cm="1">
        <f t="array" ref="H607">_xlfn.IFS(C607&lt;=5, "0–5 years", C607&lt;=10, "6–10 years", C607&lt;=15, "11–15 years", C607&lt;=20, "16–20 years", TRUE, "21–25 years")</f>
        <v>11–15 years</v>
      </c>
    </row>
    <row r="608" spans="1:8" x14ac:dyDescent="0.3">
      <c r="A608" t="s">
        <v>1597</v>
      </c>
      <c r="B608" t="s">
        <v>40</v>
      </c>
      <c r="C608">
        <v>19</v>
      </c>
      <c r="D608" s="9">
        <v>91.08</v>
      </c>
      <c r="E608" t="s">
        <v>1041</v>
      </c>
      <c r="F608" s="10">
        <v>3354.03</v>
      </c>
      <c r="G608">
        <f>Meter[[#This Row],[EstimatedLoss_RM]]/0.8</f>
        <v>4192.5375000000004</v>
      </c>
      <c r="H608" t="str" cm="1">
        <f t="array" ref="H608">_xlfn.IFS(C608&lt;=5, "0–5 years", C608&lt;=10, "6–10 years", C608&lt;=15, "11–15 years", C608&lt;=20, "16–20 years", TRUE, "21–25 years")</f>
        <v>16–20 years</v>
      </c>
    </row>
    <row r="609" spans="1:8" x14ac:dyDescent="0.3">
      <c r="A609" t="s">
        <v>1658</v>
      </c>
      <c r="B609" t="s">
        <v>50</v>
      </c>
      <c r="C609">
        <v>18</v>
      </c>
      <c r="D609" s="2">
        <v>91.06</v>
      </c>
      <c r="E609" t="s">
        <v>1043</v>
      </c>
      <c r="F609" s="11">
        <v>3383.35</v>
      </c>
      <c r="G609">
        <f>Meter[[#This Row],[EstimatedLoss_RM]]/0.8</f>
        <v>4229.1875</v>
      </c>
      <c r="H609" t="str" cm="1">
        <f t="array" ref="H609">_xlfn.IFS(C609&lt;=5, "0–5 years", C609&lt;=10, "6–10 years", C609&lt;=15, "11–15 years", C609&lt;=20, "16–20 years", TRUE, "21–25 years")</f>
        <v>16–20 years</v>
      </c>
    </row>
    <row r="610" spans="1:8" x14ac:dyDescent="0.3">
      <c r="A610" t="s">
        <v>1312</v>
      </c>
      <c r="B610" t="s">
        <v>52</v>
      </c>
      <c r="C610">
        <v>18</v>
      </c>
      <c r="D610" s="9">
        <v>91.06</v>
      </c>
      <c r="E610" t="s">
        <v>1041</v>
      </c>
      <c r="F610" s="10">
        <v>3388.57</v>
      </c>
      <c r="G610">
        <f>Meter[[#This Row],[EstimatedLoss_RM]]/0.8</f>
        <v>4235.7124999999996</v>
      </c>
      <c r="H610" t="str" cm="1">
        <f t="array" ref="H610">_xlfn.IFS(C610&lt;=5, "0–5 years", C610&lt;=10, "6–10 years", C610&lt;=15, "11–15 years", C610&lt;=20, "16–20 years", TRUE, "21–25 years")</f>
        <v>16–20 years</v>
      </c>
    </row>
    <row r="611" spans="1:8" x14ac:dyDescent="0.3">
      <c r="A611" t="s">
        <v>1098</v>
      </c>
      <c r="B611" t="s">
        <v>49</v>
      </c>
      <c r="C611">
        <v>22</v>
      </c>
      <c r="D611" s="2">
        <v>91.06</v>
      </c>
      <c r="E611" t="s">
        <v>1045</v>
      </c>
      <c r="F611" s="11">
        <v>3386.91</v>
      </c>
      <c r="G611">
        <f>Meter[[#This Row],[EstimatedLoss_RM]]/0.8</f>
        <v>4233.6374999999998</v>
      </c>
      <c r="H611" t="str" cm="1">
        <f t="array" ref="H611">_xlfn.IFS(C611&lt;=5, "0–5 years", C611&lt;=10, "6–10 years", C611&lt;=15, "11–15 years", C611&lt;=20, "16–20 years", TRUE, "21–25 years")</f>
        <v>21–25 years</v>
      </c>
    </row>
    <row r="612" spans="1:8" x14ac:dyDescent="0.3">
      <c r="A612" t="s">
        <v>1559</v>
      </c>
      <c r="B612" t="s">
        <v>41</v>
      </c>
      <c r="C612">
        <v>20</v>
      </c>
      <c r="D612" s="9">
        <v>91</v>
      </c>
      <c r="E612" t="s">
        <v>1041</v>
      </c>
      <c r="F612" s="10">
        <v>3405.84</v>
      </c>
      <c r="G612">
        <f>Meter[[#This Row],[EstimatedLoss_RM]]/0.8</f>
        <v>4257.3</v>
      </c>
      <c r="H612" t="str" cm="1">
        <f t="array" ref="H612">_xlfn.IFS(C612&lt;=5, "0–5 years", C612&lt;=10, "6–10 years", C612&lt;=15, "11–15 years", C612&lt;=20, "16–20 years", TRUE, "21–25 years")</f>
        <v>16–20 years</v>
      </c>
    </row>
    <row r="613" spans="1:8" x14ac:dyDescent="0.3">
      <c r="A613" t="s">
        <v>1407</v>
      </c>
      <c r="B613" t="s">
        <v>50</v>
      </c>
      <c r="C613">
        <v>21</v>
      </c>
      <c r="D613" s="2">
        <v>90.98</v>
      </c>
      <c r="E613" t="s">
        <v>1041</v>
      </c>
      <c r="F613" s="11">
        <v>3406.54</v>
      </c>
      <c r="G613">
        <f>Meter[[#This Row],[EstimatedLoss_RM]]/0.8</f>
        <v>4258.1749999999993</v>
      </c>
      <c r="H613" t="str" cm="1">
        <f t="array" ref="H613">_xlfn.IFS(C613&lt;=5, "0–5 years", C613&lt;=10, "6–10 years", C613&lt;=15, "11–15 years", C613&lt;=20, "16–20 years", TRUE, "21–25 years")</f>
        <v>21–25 years</v>
      </c>
    </row>
    <row r="614" spans="1:8" x14ac:dyDescent="0.3">
      <c r="A614" t="s">
        <v>1245</v>
      </c>
      <c r="B614" t="s">
        <v>42</v>
      </c>
      <c r="C614">
        <v>23</v>
      </c>
      <c r="D614" s="9">
        <v>90.97</v>
      </c>
      <c r="E614" t="s">
        <v>1045</v>
      </c>
      <c r="F614" s="10">
        <v>3415.22</v>
      </c>
      <c r="G614">
        <f>Meter[[#This Row],[EstimatedLoss_RM]]/0.8</f>
        <v>4269.0249999999996</v>
      </c>
      <c r="H614" t="str" cm="1">
        <f t="array" ref="H614">_xlfn.IFS(C614&lt;=5, "0–5 years", C614&lt;=10, "6–10 years", C614&lt;=15, "11–15 years", C614&lt;=20, "16–20 years", TRUE, "21–25 years")</f>
        <v>21–25 years</v>
      </c>
    </row>
    <row r="615" spans="1:8" x14ac:dyDescent="0.3">
      <c r="A615" t="s">
        <v>1126</v>
      </c>
      <c r="B615" t="s">
        <v>39</v>
      </c>
      <c r="C615">
        <v>15</v>
      </c>
      <c r="D615" s="2">
        <v>90.96</v>
      </c>
      <c r="E615" t="s">
        <v>1041</v>
      </c>
      <c r="F615" s="11">
        <v>3423.5</v>
      </c>
      <c r="G615">
        <f>Meter[[#This Row],[EstimatedLoss_RM]]/0.8</f>
        <v>4279.375</v>
      </c>
      <c r="H615" t="str" cm="1">
        <f t="array" ref="H615">_xlfn.IFS(C615&lt;=5, "0–5 years", C615&lt;=10, "6–10 years", C615&lt;=15, "11–15 years", C615&lt;=20, "16–20 years", TRUE, "21–25 years")</f>
        <v>11–15 years</v>
      </c>
    </row>
    <row r="616" spans="1:8" x14ac:dyDescent="0.3">
      <c r="A616" t="s">
        <v>1655</v>
      </c>
      <c r="B616" t="s">
        <v>45</v>
      </c>
      <c r="C616">
        <v>19</v>
      </c>
      <c r="D616" s="9">
        <v>90.96</v>
      </c>
      <c r="E616" t="s">
        <v>1043</v>
      </c>
      <c r="F616" s="10">
        <v>3424.93</v>
      </c>
      <c r="G616">
        <f>Meter[[#This Row],[EstimatedLoss_RM]]/0.8</f>
        <v>4281.1624999999995</v>
      </c>
      <c r="H616" t="str" cm="1">
        <f t="array" ref="H616">_xlfn.IFS(C616&lt;=5, "0–5 years", C616&lt;=10, "6–10 years", C616&lt;=15, "11–15 years", C616&lt;=20, "16–20 years", TRUE, "21–25 years")</f>
        <v>16–20 years</v>
      </c>
    </row>
    <row r="617" spans="1:8" x14ac:dyDescent="0.3">
      <c r="A617" t="s">
        <v>1217</v>
      </c>
      <c r="B617" t="s">
        <v>49</v>
      </c>
      <c r="C617">
        <v>19</v>
      </c>
      <c r="D617" s="2">
        <v>90.95</v>
      </c>
      <c r="E617" t="s">
        <v>1041</v>
      </c>
      <c r="F617" s="11">
        <v>3426.17</v>
      </c>
      <c r="G617">
        <f>Meter[[#This Row],[EstimatedLoss_RM]]/0.8</f>
        <v>4282.7124999999996</v>
      </c>
      <c r="H617" t="str" cm="1">
        <f t="array" ref="H617">_xlfn.IFS(C617&lt;=5, "0–5 years", C617&lt;=10, "6–10 years", C617&lt;=15, "11–15 years", C617&lt;=20, "16–20 years", TRUE, "21–25 years")</f>
        <v>16–20 years</v>
      </c>
    </row>
    <row r="618" spans="1:8" x14ac:dyDescent="0.3">
      <c r="A618" t="s">
        <v>1136</v>
      </c>
      <c r="B618" t="s">
        <v>50</v>
      </c>
      <c r="C618">
        <v>16</v>
      </c>
      <c r="D618" s="9">
        <v>90.94</v>
      </c>
      <c r="E618" t="s">
        <v>1045</v>
      </c>
      <c r="F618" s="10">
        <v>3447.53</v>
      </c>
      <c r="G618">
        <f>Meter[[#This Row],[EstimatedLoss_RM]]/0.8</f>
        <v>4309.4125000000004</v>
      </c>
      <c r="H618" t="str" cm="1">
        <f t="array" ref="H618">_xlfn.IFS(C618&lt;=5, "0–5 years", C618&lt;=10, "6–10 years", C618&lt;=15, "11–15 years", C618&lt;=20, "16–20 years", TRUE, "21–25 years")</f>
        <v>16–20 years</v>
      </c>
    </row>
    <row r="619" spans="1:8" x14ac:dyDescent="0.3">
      <c r="A619" t="s">
        <v>1174</v>
      </c>
      <c r="B619" t="s">
        <v>53</v>
      </c>
      <c r="C619">
        <v>18</v>
      </c>
      <c r="D619" s="2">
        <v>90.94</v>
      </c>
      <c r="E619" t="s">
        <v>1045</v>
      </c>
      <c r="F619" s="11">
        <v>3446.56</v>
      </c>
      <c r="G619">
        <f>Meter[[#This Row],[EstimatedLoss_RM]]/0.8</f>
        <v>4308.2</v>
      </c>
      <c r="H619" t="str" cm="1">
        <f t="array" ref="H619">_xlfn.IFS(C619&lt;=5, "0–5 years", C619&lt;=10, "6–10 years", C619&lt;=15, "11–15 years", C619&lt;=20, "16–20 years", TRUE, "21–25 years")</f>
        <v>16–20 years</v>
      </c>
    </row>
    <row r="620" spans="1:8" x14ac:dyDescent="0.3">
      <c r="A620" t="s">
        <v>1862</v>
      </c>
      <c r="B620" t="s">
        <v>52</v>
      </c>
      <c r="C620">
        <v>23</v>
      </c>
      <c r="D620" s="9">
        <v>90.93</v>
      </c>
      <c r="E620" t="s">
        <v>1041</v>
      </c>
      <c r="F620" s="10">
        <v>3454.43</v>
      </c>
      <c r="G620">
        <f>Meter[[#This Row],[EstimatedLoss_RM]]/0.8</f>
        <v>4318.0374999999995</v>
      </c>
      <c r="H620" t="str" cm="1">
        <f t="array" ref="H620">_xlfn.IFS(C620&lt;=5, "0–5 years", C620&lt;=10, "6–10 years", C620&lt;=15, "11–15 years", C620&lt;=20, "16–20 years", TRUE, "21–25 years")</f>
        <v>21–25 years</v>
      </c>
    </row>
    <row r="621" spans="1:8" x14ac:dyDescent="0.3">
      <c r="A621" t="s">
        <v>1246</v>
      </c>
      <c r="B621" t="s">
        <v>48</v>
      </c>
      <c r="C621">
        <v>23</v>
      </c>
      <c r="D621" s="2">
        <v>90.91</v>
      </c>
      <c r="E621" t="s">
        <v>1041</v>
      </c>
      <c r="F621" s="11">
        <v>3458.63</v>
      </c>
      <c r="G621">
        <f>Meter[[#This Row],[EstimatedLoss_RM]]/0.8</f>
        <v>4323.2874999999995</v>
      </c>
      <c r="H621" t="str" cm="1">
        <f t="array" ref="H621">_xlfn.IFS(C621&lt;=5, "0–5 years", C621&lt;=10, "6–10 years", C621&lt;=15, "11–15 years", C621&lt;=20, "16–20 years", TRUE, "21–25 years")</f>
        <v>21–25 years</v>
      </c>
    </row>
    <row r="622" spans="1:8" x14ac:dyDescent="0.3">
      <c r="A622" t="s">
        <v>1329</v>
      </c>
      <c r="B622" t="s">
        <v>47</v>
      </c>
      <c r="C622">
        <v>17</v>
      </c>
      <c r="D622" s="9">
        <v>90.9</v>
      </c>
      <c r="E622" t="s">
        <v>1041</v>
      </c>
      <c r="F622" s="10">
        <v>3480.13</v>
      </c>
      <c r="G622">
        <f>Meter[[#This Row],[EstimatedLoss_RM]]/0.8</f>
        <v>4350.1624999999995</v>
      </c>
      <c r="H622" t="str" cm="1">
        <f t="array" ref="H622">_xlfn.IFS(C622&lt;=5, "0–5 years", C622&lt;=10, "6–10 years", C622&lt;=15, "11–15 years", C622&lt;=20, "16–20 years", TRUE, "21–25 years")</f>
        <v>16–20 years</v>
      </c>
    </row>
    <row r="623" spans="1:8" x14ac:dyDescent="0.3">
      <c r="A623" t="s">
        <v>1512</v>
      </c>
      <c r="B623" t="s">
        <v>44</v>
      </c>
      <c r="C623">
        <v>15</v>
      </c>
      <c r="D623" s="2">
        <v>90.85</v>
      </c>
      <c r="E623" t="s">
        <v>1045</v>
      </c>
      <c r="F623" s="11">
        <v>3480.55</v>
      </c>
      <c r="G623">
        <f>Meter[[#This Row],[EstimatedLoss_RM]]/0.8</f>
        <v>4350.6875</v>
      </c>
      <c r="H623" t="str" cm="1">
        <f t="array" ref="H623">_xlfn.IFS(C623&lt;=5, "0–5 years", C623&lt;=10, "6–10 years", C623&lt;=15, "11–15 years", C623&lt;=20, "16–20 years", TRUE, "21–25 years")</f>
        <v>11–15 years</v>
      </c>
    </row>
    <row r="624" spans="1:8" x14ac:dyDescent="0.3">
      <c r="A624" t="s">
        <v>1542</v>
      </c>
      <c r="B624" t="s">
        <v>44</v>
      </c>
      <c r="C624">
        <v>11</v>
      </c>
      <c r="D624" s="9">
        <v>90.83</v>
      </c>
      <c r="E624" t="s">
        <v>1043</v>
      </c>
      <c r="F624" s="10">
        <v>3494.56</v>
      </c>
      <c r="G624">
        <f>Meter[[#This Row],[EstimatedLoss_RM]]/0.8</f>
        <v>4368.2</v>
      </c>
      <c r="H624" t="str" cm="1">
        <f t="array" ref="H624">_xlfn.IFS(C624&lt;=5, "0–5 years", C624&lt;=10, "6–10 years", C624&lt;=15, "11–15 years", C624&lt;=20, "16–20 years", TRUE, "21–25 years")</f>
        <v>11–15 years</v>
      </c>
    </row>
    <row r="625" spans="1:8" x14ac:dyDescent="0.3">
      <c r="A625" t="s">
        <v>1274</v>
      </c>
      <c r="B625" t="s">
        <v>45</v>
      </c>
      <c r="C625">
        <v>19</v>
      </c>
      <c r="D625" s="2">
        <v>90.83</v>
      </c>
      <c r="E625" t="s">
        <v>1045</v>
      </c>
      <c r="F625" s="11">
        <v>3494.44</v>
      </c>
      <c r="G625">
        <f>Meter[[#This Row],[EstimatedLoss_RM]]/0.8</f>
        <v>4368.05</v>
      </c>
      <c r="H625" t="str" cm="1">
        <f t="array" ref="H625">_xlfn.IFS(C625&lt;=5, "0–5 years", C625&lt;=10, "6–10 years", C625&lt;=15, "11–15 years", C625&lt;=20, "16–20 years", TRUE, "21–25 years")</f>
        <v>16–20 years</v>
      </c>
    </row>
    <row r="626" spans="1:8" x14ac:dyDescent="0.3">
      <c r="A626" t="s">
        <v>1540</v>
      </c>
      <c r="B626" t="s">
        <v>40</v>
      </c>
      <c r="C626">
        <v>17</v>
      </c>
      <c r="D626" s="9">
        <v>90.82</v>
      </c>
      <c r="E626" t="s">
        <v>1045</v>
      </c>
      <c r="F626" s="10">
        <v>3517.07</v>
      </c>
      <c r="G626">
        <f>Meter[[#This Row],[EstimatedLoss_RM]]/0.8</f>
        <v>4396.3374999999996</v>
      </c>
      <c r="H626" t="str" cm="1">
        <f t="array" ref="H626">_xlfn.IFS(C626&lt;=5, "0–5 years", C626&lt;=10, "6–10 years", C626&lt;=15, "11–15 years", C626&lt;=20, "16–20 years", TRUE, "21–25 years")</f>
        <v>16–20 years</v>
      </c>
    </row>
    <row r="627" spans="1:8" x14ac:dyDescent="0.3">
      <c r="A627" t="s">
        <v>1316</v>
      </c>
      <c r="B627" t="s">
        <v>47</v>
      </c>
      <c r="C627">
        <v>18</v>
      </c>
      <c r="D627" s="2">
        <v>90.82</v>
      </c>
      <c r="E627" t="s">
        <v>1045</v>
      </c>
      <c r="F627" s="11">
        <v>3520</v>
      </c>
      <c r="G627">
        <f>Meter[[#This Row],[EstimatedLoss_RM]]/0.8</f>
        <v>4400</v>
      </c>
      <c r="H627" t="str" cm="1">
        <f t="array" ref="H627">_xlfn.IFS(C627&lt;=5, "0–5 years", C627&lt;=10, "6–10 years", C627&lt;=15, "11–15 years", C627&lt;=20, "16–20 years", TRUE, "21–25 years")</f>
        <v>16–20 years</v>
      </c>
    </row>
    <row r="628" spans="1:8" x14ac:dyDescent="0.3">
      <c r="A628" t="s">
        <v>1581</v>
      </c>
      <c r="B628" t="s">
        <v>52</v>
      </c>
      <c r="C628">
        <v>23</v>
      </c>
      <c r="D628" s="9">
        <v>90.81</v>
      </c>
      <c r="E628" t="s">
        <v>1045</v>
      </c>
      <c r="F628" s="10">
        <v>3554.56</v>
      </c>
      <c r="G628">
        <f>Meter[[#This Row],[EstimatedLoss_RM]]/0.8</f>
        <v>4443.2</v>
      </c>
      <c r="H628" t="str" cm="1">
        <f t="array" ref="H628">_xlfn.IFS(C628&lt;=5, "0–5 years", C628&lt;=10, "6–10 years", C628&lt;=15, "11–15 years", C628&lt;=20, "16–20 years", TRUE, "21–25 years")</f>
        <v>21–25 years</v>
      </c>
    </row>
    <row r="629" spans="1:8" x14ac:dyDescent="0.3">
      <c r="A629" t="s">
        <v>1320</v>
      </c>
      <c r="B629" t="s">
        <v>46</v>
      </c>
      <c r="C629">
        <v>15</v>
      </c>
      <c r="D629" s="2">
        <v>90.8</v>
      </c>
      <c r="E629" t="s">
        <v>1041</v>
      </c>
      <c r="F629" s="11">
        <v>3558.23</v>
      </c>
      <c r="G629">
        <f>Meter[[#This Row],[EstimatedLoss_RM]]/0.8</f>
        <v>4447.7874999999995</v>
      </c>
      <c r="H629" t="str" cm="1">
        <f t="array" ref="H629">_xlfn.IFS(C629&lt;=5, "0–5 years", C629&lt;=10, "6–10 years", C629&lt;=15, "11–15 years", C629&lt;=20, "16–20 years", TRUE, "21–25 years")</f>
        <v>11–15 years</v>
      </c>
    </row>
    <row r="630" spans="1:8" x14ac:dyDescent="0.3">
      <c r="A630" t="s">
        <v>1576</v>
      </c>
      <c r="B630" t="s">
        <v>44</v>
      </c>
      <c r="C630">
        <v>12</v>
      </c>
      <c r="D630" s="9">
        <v>90.78</v>
      </c>
      <c r="E630" t="s">
        <v>1045</v>
      </c>
      <c r="F630" s="10">
        <v>3578.63</v>
      </c>
      <c r="G630">
        <f>Meter[[#This Row],[EstimatedLoss_RM]]/0.8</f>
        <v>4473.2874999999995</v>
      </c>
      <c r="H630" t="str" cm="1">
        <f t="array" ref="H630">_xlfn.IFS(C630&lt;=5, "0–5 years", C630&lt;=10, "6–10 years", C630&lt;=15, "11–15 years", C630&lt;=20, "16–20 years", TRUE, "21–25 years")</f>
        <v>11–15 years</v>
      </c>
    </row>
    <row r="631" spans="1:8" x14ac:dyDescent="0.3">
      <c r="A631" t="s">
        <v>1823</v>
      </c>
      <c r="B631" t="s">
        <v>43</v>
      </c>
      <c r="C631">
        <v>19</v>
      </c>
      <c r="D631" s="2">
        <v>90.76</v>
      </c>
      <c r="E631" t="s">
        <v>1043</v>
      </c>
      <c r="F631" s="11">
        <v>3587.31</v>
      </c>
      <c r="G631">
        <f>Meter[[#This Row],[EstimatedLoss_RM]]/0.8</f>
        <v>4484.1374999999998</v>
      </c>
      <c r="H631" t="str" cm="1">
        <f t="array" ref="H631">_xlfn.IFS(C631&lt;=5, "0–5 years", C631&lt;=10, "6–10 years", C631&lt;=15, "11–15 years", C631&lt;=20, "16–20 years", TRUE, "21–25 years")</f>
        <v>16–20 years</v>
      </c>
    </row>
    <row r="632" spans="1:8" x14ac:dyDescent="0.3">
      <c r="A632" t="s">
        <v>1767</v>
      </c>
      <c r="B632" t="s">
        <v>41</v>
      </c>
      <c r="C632">
        <v>19</v>
      </c>
      <c r="D632" s="9">
        <v>90.74</v>
      </c>
      <c r="E632" t="s">
        <v>1045</v>
      </c>
      <c r="F632" s="10">
        <v>3588.21</v>
      </c>
      <c r="G632">
        <f>Meter[[#This Row],[EstimatedLoss_RM]]/0.8</f>
        <v>4485.2624999999998</v>
      </c>
      <c r="H632" t="str" cm="1">
        <f t="array" ref="H632">_xlfn.IFS(C632&lt;=5, "0–5 years", C632&lt;=10, "6–10 years", C632&lt;=15, "11–15 years", C632&lt;=20, "16–20 years", TRUE, "21–25 years")</f>
        <v>16–20 years</v>
      </c>
    </row>
    <row r="633" spans="1:8" x14ac:dyDescent="0.3">
      <c r="A633" t="s">
        <v>1500</v>
      </c>
      <c r="B633" t="s">
        <v>53</v>
      </c>
      <c r="C633">
        <v>13</v>
      </c>
      <c r="D633" s="2">
        <v>90.73</v>
      </c>
      <c r="E633" t="s">
        <v>1045</v>
      </c>
      <c r="F633" s="11">
        <v>3589.85</v>
      </c>
      <c r="G633">
        <f>Meter[[#This Row],[EstimatedLoss_RM]]/0.8</f>
        <v>4487.3125</v>
      </c>
      <c r="H633" t="str" cm="1">
        <f t="array" ref="H633">_xlfn.IFS(C633&lt;=5, "0–5 years", C633&lt;=10, "6–10 years", C633&lt;=15, "11–15 years", C633&lt;=20, "16–20 years", TRUE, "21–25 years")</f>
        <v>11–15 years</v>
      </c>
    </row>
    <row r="634" spans="1:8" x14ac:dyDescent="0.3">
      <c r="A634" t="s">
        <v>1609</v>
      </c>
      <c r="B634" t="s">
        <v>42</v>
      </c>
      <c r="C634">
        <v>8</v>
      </c>
      <c r="D634" s="9">
        <v>90.72</v>
      </c>
      <c r="E634" t="s">
        <v>1045</v>
      </c>
      <c r="F634" s="10">
        <v>3600.18</v>
      </c>
      <c r="G634">
        <f>Meter[[#This Row],[EstimatedLoss_RM]]/0.8</f>
        <v>4500.2249999999995</v>
      </c>
      <c r="H634" t="str" cm="1">
        <f t="array" ref="H634">_xlfn.IFS(C634&lt;=5, "0–5 years", C634&lt;=10, "6–10 years", C634&lt;=15, "11–15 years", C634&lt;=20, "16–20 years", TRUE, "21–25 years")</f>
        <v>6–10 years</v>
      </c>
    </row>
    <row r="635" spans="1:8" x14ac:dyDescent="0.3">
      <c r="A635" t="s">
        <v>1236</v>
      </c>
      <c r="B635" t="s">
        <v>38</v>
      </c>
      <c r="C635">
        <v>12</v>
      </c>
      <c r="D635" s="2">
        <v>90.71</v>
      </c>
      <c r="E635" t="s">
        <v>1045</v>
      </c>
      <c r="F635" s="11">
        <v>3607.2</v>
      </c>
      <c r="G635">
        <f>Meter[[#This Row],[EstimatedLoss_RM]]/0.8</f>
        <v>4508.9999999999991</v>
      </c>
      <c r="H635" t="str" cm="1">
        <f t="array" ref="H635">_xlfn.IFS(C635&lt;=5, "0–5 years", C635&lt;=10, "6–10 years", C635&lt;=15, "11–15 years", C635&lt;=20, "16–20 years", TRUE, "21–25 years")</f>
        <v>11–15 years</v>
      </c>
    </row>
    <row r="636" spans="1:8" x14ac:dyDescent="0.3">
      <c r="A636" t="s">
        <v>1231</v>
      </c>
      <c r="B636" t="s">
        <v>50</v>
      </c>
      <c r="C636">
        <v>14</v>
      </c>
      <c r="D636" s="9">
        <v>90.71</v>
      </c>
      <c r="E636" t="s">
        <v>1045</v>
      </c>
      <c r="F636" s="10">
        <v>3607.27</v>
      </c>
      <c r="G636">
        <f>Meter[[#This Row],[EstimatedLoss_RM]]/0.8</f>
        <v>4509.0874999999996</v>
      </c>
      <c r="H636" t="str" cm="1">
        <f t="array" ref="H636">_xlfn.IFS(C636&lt;=5, "0–5 years", C636&lt;=10, "6–10 years", C636&lt;=15, "11–15 years", C636&lt;=20, "16–20 years", TRUE, "21–25 years")</f>
        <v>11–15 years</v>
      </c>
    </row>
    <row r="637" spans="1:8" x14ac:dyDescent="0.3">
      <c r="A637" t="s">
        <v>1233</v>
      </c>
      <c r="B637" t="s">
        <v>53</v>
      </c>
      <c r="C637">
        <v>16</v>
      </c>
      <c r="D637" s="2">
        <v>90.71</v>
      </c>
      <c r="E637" t="s">
        <v>1045</v>
      </c>
      <c r="F637" s="11">
        <v>3617.1</v>
      </c>
      <c r="G637">
        <f>Meter[[#This Row],[EstimatedLoss_RM]]/0.8</f>
        <v>4521.375</v>
      </c>
      <c r="H637" t="str" cm="1">
        <f t="array" ref="H637">_xlfn.IFS(C637&lt;=5, "0–5 years", C637&lt;=10, "6–10 years", C637&lt;=15, "11–15 years", C637&lt;=20, "16–20 years", TRUE, "21–25 years")</f>
        <v>16–20 years</v>
      </c>
    </row>
    <row r="638" spans="1:8" x14ac:dyDescent="0.3">
      <c r="A638" t="s">
        <v>1083</v>
      </c>
      <c r="B638" t="s">
        <v>42</v>
      </c>
      <c r="C638">
        <v>22</v>
      </c>
      <c r="D638" s="9">
        <v>90.68</v>
      </c>
      <c r="E638" t="s">
        <v>1043</v>
      </c>
      <c r="F638" s="10">
        <v>3618.22</v>
      </c>
      <c r="G638">
        <f>Meter[[#This Row],[EstimatedLoss_RM]]/0.8</f>
        <v>4522.7749999999996</v>
      </c>
      <c r="H638" t="str" cm="1">
        <f t="array" ref="H638">_xlfn.IFS(C638&lt;=5, "0–5 years", C638&lt;=10, "6–10 years", C638&lt;=15, "11–15 years", C638&lt;=20, "16–20 years", TRUE, "21–25 years")</f>
        <v>21–25 years</v>
      </c>
    </row>
    <row r="639" spans="1:8" x14ac:dyDescent="0.3">
      <c r="A639" t="s">
        <v>1493</v>
      </c>
      <c r="B639" t="s">
        <v>39</v>
      </c>
      <c r="C639">
        <v>18</v>
      </c>
      <c r="D639" s="2">
        <v>90.67</v>
      </c>
      <c r="E639" t="s">
        <v>1043</v>
      </c>
      <c r="F639" s="11">
        <v>3619.57</v>
      </c>
      <c r="G639">
        <f>Meter[[#This Row],[EstimatedLoss_RM]]/0.8</f>
        <v>4524.4624999999996</v>
      </c>
      <c r="H639" t="str" cm="1">
        <f t="array" ref="H639">_xlfn.IFS(C639&lt;=5, "0–5 years", C639&lt;=10, "6–10 years", C639&lt;=15, "11–15 years", C639&lt;=20, "16–20 years", TRUE, "21–25 years")</f>
        <v>16–20 years</v>
      </c>
    </row>
    <row r="640" spans="1:8" x14ac:dyDescent="0.3">
      <c r="A640" t="s">
        <v>1376</v>
      </c>
      <c r="B640" t="s">
        <v>49</v>
      </c>
      <c r="C640">
        <v>15</v>
      </c>
      <c r="D640" s="9">
        <v>90.65</v>
      </c>
      <c r="E640" t="s">
        <v>1041</v>
      </c>
      <c r="F640" s="10">
        <v>3644.33</v>
      </c>
      <c r="G640">
        <f>Meter[[#This Row],[EstimatedLoss_RM]]/0.8</f>
        <v>4555.4124999999995</v>
      </c>
      <c r="H640" t="str" cm="1">
        <f t="array" ref="H640">_xlfn.IFS(C640&lt;=5, "0–5 years", C640&lt;=10, "6–10 years", C640&lt;=15, "11–15 years", C640&lt;=20, "16–20 years", TRUE, "21–25 years")</f>
        <v>11–15 years</v>
      </c>
    </row>
    <row r="641" spans="1:8" x14ac:dyDescent="0.3">
      <c r="A641" t="s">
        <v>1152</v>
      </c>
      <c r="B641" t="s">
        <v>50</v>
      </c>
      <c r="C641">
        <v>18</v>
      </c>
      <c r="D641" s="2">
        <v>90.65</v>
      </c>
      <c r="E641" t="s">
        <v>1045</v>
      </c>
      <c r="F641" s="11">
        <v>3628.89</v>
      </c>
      <c r="G641">
        <f>Meter[[#This Row],[EstimatedLoss_RM]]/0.8</f>
        <v>4536.1124999999993</v>
      </c>
      <c r="H641" t="str" cm="1">
        <f t="array" ref="H641">_xlfn.IFS(C641&lt;=5, "0–5 years", C641&lt;=10, "6–10 years", C641&lt;=15, "11–15 years", C641&lt;=20, "16–20 years", TRUE, "21–25 years")</f>
        <v>16–20 years</v>
      </c>
    </row>
    <row r="642" spans="1:8" x14ac:dyDescent="0.3">
      <c r="A642" t="s">
        <v>1270</v>
      </c>
      <c r="B642" t="s">
        <v>43</v>
      </c>
      <c r="C642">
        <v>13</v>
      </c>
      <c r="D642" s="9">
        <v>90.64</v>
      </c>
      <c r="E642" t="s">
        <v>1041</v>
      </c>
      <c r="F642" s="10">
        <v>3651.87</v>
      </c>
      <c r="G642">
        <f>Meter[[#This Row],[EstimatedLoss_RM]]/0.8</f>
        <v>4564.8374999999996</v>
      </c>
      <c r="H642" t="str" cm="1">
        <f t="array" ref="H642">_xlfn.IFS(C642&lt;=5, "0–5 years", C642&lt;=10, "6–10 years", C642&lt;=15, "11–15 years", C642&lt;=20, "16–20 years", TRUE, "21–25 years")</f>
        <v>11–15 years</v>
      </c>
    </row>
    <row r="643" spans="1:8" x14ac:dyDescent="0.3">
      <c r="A643" t="s">
        <v>1925</v>
      </c>
      <c r="B643" t="s">
        <v>46</v>
      </c>
      <c r="C643">
        <v>16</v>
      </c>
      <c r="D643" s="2">
        <v>90.62</v>
      </c>
      <c r="E643" t="s">
        <v>1041</v>
      </c>
      <c r="F643" s="11">
        <v>3651.96</v>
      </c>
      <c r="G643">
        <f>Meter[[#This Row],[EstimatedLoss_RM]]/0.8</f>
        <v>4564.95</v>
      </c>
      <c r="H643" t="str" cm="1">
        <f t="array" ref="H643">_xlfn.IFS(C643&lt;=5, "0–5 years", C643&lt;=10, "6–10 years", C643&lt;=15, "11–15 years", C643&lt;=20, "16–20 years", TRUE, "21–25 years")</f>
        <v>16–20 years</v>
      </c>
    </row>
    <row r="644" spans="1:8" x14ac:dyDescent="0.3">
      <c r="A644" t="s">
        <v>1806</v>
      </c>
      <c r="B644" t="s">
        <v>44</v>
      </c>
      <c r="C644">
        <v>18</v>
      </c>
      <c r="D644" s="9">
        <v>90.61</v>
      </c>
      <c r="E644" t="s">
        <v>1043</v>
      </c>
      <c r="F644" s="10">
        <v>3661.46</v>
      </c>
      <c r="G644">
        <f>Meter[[#This Row],[EstimatedLoss_RM]]/0.8</f>
        <v>4576.8249999999998</v>
      </c>
      <c r="H644" t="str" cm="1">
        <f t="array" ref="H644">_xlfn.IFS(C644&lt;=5, "0–5 years", C644&lt;=10, "6–10 years", C644&lt;=15, "11–15 years", C644&lt;=20, "16–20 years", TRUE, "21–25 years")</f>
        <v>16–20 years</v>
      </c>
    </row>
    <row r="645" spans="1:8" x14ac:dyDescent="0.3">
      <c r="A645" t="s">
        <v>1184</v>
      </c>
      <c r="B645" t="s">
        <v>49</v>
      </c>
      <c r="C645">
        <v>25</v>
      </c>
      <c r="D645" s="2">
        <v>90.61</v>
      </c>
      <c r="E645" t="s">
        <v>1045</v>
      </c>
      <c r="F645" s="11">
        <v>3658.14</v>
      </c>
      <c r="G645">
        <f>Meter[[#This Row],[EstimatedLoss_RM]]/0.8</f>
        <v>4572.6749999999993</v>
      </c>
      <c r="H645" t="str" cm="1">
        <f t="array" ref="H645">_xlfn.IFS(C645&lt;=5, "0–5 years", C645&lt;=10, "6–10 years", C645&lt;=15, "11–15 years", C645&lt;=20, "16–20 years", TRUE, "21–25 years")</f>
        <v>21–25 years</v>
      </c>
    </row>
    <row r="646" spans="1:8" x14ac:dyDescent="0.3">
      <c r="A646" t="s">
        <v>1119</v>
      </c>
      <c r="B646" t="s">
        <v>47</v>
      </c>
      <c r="C646">
        <v>19</v>
      </c>
      <c r="D646" s="9">
        <v>90.57</v>
      </c>
      <c r="E646" t="s">
        <v>1041</v>
      </c>
      <c r="F646" s="10">
        <v>3667.11</v>
      </c>
      <c r="G646">
        <f>Meter[[#This Row],[EstimatedLoss_RM]]/0.8</f>
        <v>4583.8874999999998</v>
      </c>
      <c r="H646" t="str" cm="1">
        <f t="array" ref="H646">_xlfn.IFS(C646&lt;=5, "0–5 years", C646&lt;=10, "6–10 years", C646&lt;=15, "11–15 years", C646&lt;=20, "16–20 years", TRUE, "21–25 years")</f>
        <v>16–20 years</v>
      </c>
    </row>
    <row r="647" spans="1:8" x14ac:dyDescent="0.3">
      <c r="A647" t="s">
        <v>1927</v>
      </c>
      <c r="B647" t="s">
        <v>40</v>
      </c>
      <c r="C647">
        <v>22</v>
      </c>
      <c r="D647" s="2">
        <v>90.56</v>
      </c>
      <c r="E647" t="s">
        <v>1045</v>
      </c>
      <c r="F647" s="11">
        <v>3669.09</v>
      </c>
      <c r="G647">
        <f>Meter[[#This Row],[EstimatedLoss_RM]]/0.8</f>
        <v>4586.3625000000002</v>
      </c>
      <c r="H647" t="str" cm="1">
        <f t="array" ref="H647">_xlfn.IFS(C647&lt;=5, "0–5 years", C647&lt;=10, "6–10 years", C647&lt;=15, "11–15 years", C647&lt;=20, "16–20 years", TRUE, "21–25 years")</f>
        <v>21–25 years</v>
      </c>
    </row>
    <row r="648" spans="1:8" x14ac:dyDescent="0.3">
      <c r="A648" t="s">
        <v>1200</v>
      </c>
      <c r="B648" t="s">
        <v>46</v>
      </c>
      <c r="C648">
        <v>21</v>
      </c>
      <c r="D648" s="9">
        <v>90.55</v>
      </c>
      <c r="E648" t="s">
        <v>1045</v>
      </c>
      <c r="F648" s="10">
        <v>3673.92</v>
      </c>
      <c r="G648">
        <f>Meter[[#This Row],[EstimatedLoss_RM]]/0.8</f>
        <v>4592.3999999999996</v>
      </c>
      <c r="H648" t="str" cm="1">
        <f t="array" ref="H648">_xlfn.IFS(C648&lt;=5, "0–5 years", C648&lt;=10, "6–10 years", C648&lt;=15, "11–15 years", C648&lt;=20, "16–20 years", TRUE, "21–25 years")</f>
        <v>21–25 years</v>
      </c>
    </row>
    <row r="649" spans="1:8" x14ac:dyDescent="0.3">
      <c r="A649" t="s">
        <v>1176</v>
      </c>
      <c r="B649" t="s">
        <v>39</v>
      </c>
      <c r="C649">
        <v>21</v>
      </c>
      <c r="D649" s="2">
        <v>90.55</v>
      </c>
      <c r="E649" t="s">
        <v>1045</v>
      </c>
      <c r="F649" s="11">
        <v>3677.26</v>
      </c>
      <c r="G649">
        <f>Meter[[#This Row],[EstimatedLoss_RM]]/0.8</f>
        <v>4596.5749999999998</v>
      </c>
      <c r="H649" t="str" cm="1">
        <f t="array" ref="H649">_xlfn.IFS(C649&lt;=5, "0–5 years", C649&lt;=10, "6–10 years", C649&lt;=15, "11–15 years", C649&lt;=20, "16–20 years", TRUE, "21–25 years")</f>
        <v>21–25 years</v>
      </c>
    </row>
    <row r="650" spans="1:8" x14ac:dyDescent="0.3">
      <c r="A650" t="s">
        <v>1835</v>
      </c>
      <c r="B650" t="s">
        <v>44</v>
      </c>
      <c r="C650">
        <v>20</v>
      </c>
      <c r="D650" s="9">
        <v>90.54</v>
      </c>
      <c r="E650" t="s">
        <v>1045</v>
      </c>
      <c r="F650" s="10">
        <v>3685.03</v>
      </c>
      <c r="G650">
        <f>Meter[[#This Row],[EstimatedLoss_RM]]/0.8</f>
        <v>4606.2875000000004</v>
      </c>
      <c r="H650" t="str" cm="1">
        <f t="array" ref="H650">_xlfn.IFS(C650&lt;=5, "0–5 years", C650&lt;=10, "6–10 years", C650&lt;=15, "11–15 years", C650&lt;=20, "16–20 years", TRUE, "21–25 years")</f>
        <v>16–20 years</v>
      </c>
    </row>
    <row r="651" spans="1:8" x14ac:dyDescent="0.3">
      <c r="A651" t="s">
        <v>1704</v>
      </c>
      <c r="B651" t="s">
        <v>47</v>
      </c>
      <c r="C651">
        <v>16</v>
      </c>
      <c r="D651" s="2">
        <v>90.51</v>
      </c>
      <c r="E651" t="s">
        <v>1043</v>
      </c>
      <c r="F651" s="11">
        <v>3721.35</v>
      </c>
      <c r="G651">
        <f>Meter[[#This Row],[EstimatedLoss_RM]]/0.8</f>
        <v>4651.6875</v>
      </c>
      <c r="H651" t="str" cm="1">
        <f t="array" ref="H651">_xlfn.IFS(C651&lt;=5, "0–5 years", C651&lt;=10, "6–10 years", C651&lt;=15, "11–15 years", C651&lt;=20, "16–20 years", TRUE, "21–25 years")</f>
        <v>16–20 years</v>
      </c>
    </row>
    <row r="652" spans="1:8" x14ac:dyDescent="0.3">
      <c r="A652" t="s">
        <v>1671</v>
      </c>
      <c r="B652" t="s">
        <v>40</v>
      </c>
      <c r="C652">
        <v>19</v>
      </c>
      <c r="D652" s="9">
        <v>90.51</v>
      </c>
      <c r="E652" t="s">
        <v>1043</v>
      </c>
      <c r="F652" s="10">
        <v>3693.49</v>
      </c>
      <c r="G652">
        <f>Meter[[#This Row],[EstimatedLoss_RM]]/0.8</f>
        <v>4616.8624999999993</v>
      </c>
      <c r="H652" t="str" cm="1">
        <f t="array" ref="H652">_xlfn.IFS(C652&lt;=5, "0–5 years", C652&lt;=10, "6–10 years", C652&lt;=15, "11–15 years", C652&lt;=20, "16–20 years", TRUE, "21–25 years")</f>
        <v>16–20 years</v>
      </c>
    </row>
    <row r="653" spans="1:8" x14ac:dyDescent="0.3">
      <c r="A653" t="s">
        <v>1202</v>
      </c>
      <c r="B653" t="s">
        <v>47</v>
      </c>
      <c r="C653">
        <v>22</v>
      </c>
      <c r="D653" s="2">
        <v>90.51</v>
      </c>
      <c r="E653" t="s">
        <v>1045</v>
      </c>
      <c r="F653" s="11">
        <v>3734.55</v>
      </c>
      <c r="G653">
        <f>Meter[[#This Row],[EstimatedLoss_RM]]/0.8</f>
        <v>4668.1875</v>
      </c>
      <c r="H653" t="str" cm="1">
        <f t="array" ref="H653">_xlfn.IFS(C653&lt;=5, "0–5 years", C653&lt;=10, "6–10 years", C653&lt;=15, "11–15 years", C653&lt;=20, "16–20 years", TRUE, "21–25 years")</f>
        <v>21–25 years</v>
      </c>
    </row>
    <row r="654" spans="1:8" x14ac:dyDescent="0.3">
      <c r="A654" t="s">
        <v>1797</v>
      </c>
      <c r="B654" t="s">
        <v>50</v>
      </c>
      <c r="C654">
        <v>14</v>
      </c>
      <c r="D654" s="9">
        <v>90.5</v>
      </c>
      <c r="E654" t="s">
        <v>1043</v>
      </c>
      <c r="F654" s="10">
        <v>3752.03</v>
      </c>
      <c r="G654">
        <f>Meter[[#This Row],[EstimatedLoss_RM]]/0.8</f>
        <v>4690.0375000000004</v>
      </c>
      <c r="H654" t="str" cm="1">
        <f t="array" ref="H654">_xlfn.IFS(C654&lt;=5, "0–5 years", C654&lt;=10, "6–10 years", C654&lt;=15, "11–15 years", C654&lt;=20, "16–20 years", TRUE, "21–25 years")</f>
        <v>11–15 years</v>
      </c>
    </row>
    <row r="655" spans="1:8" x14ac:dyDescent="0.3">
      <c r="A655" t="s">
        <v>1385</v>
      </c>
      <c r="B655" t="s">
        <v>43</v>
      </c>
      <c r="C655">
        <v>20</v>
      </c>
      <c r="D655" s="2">
        <v>90.49</v>
      </c>
      <c r="E655" t="s">
        <v>1041</v>
      </c>
      <c r="F655" s="11">
        <v>3752.71</v>
      </c>
      <c r="G655">
        <f>Meter[[#This Row],[EstimatedLoss_RM]]/0.8</f>
        <v>4690.8874999999998</v>
      </c>
      <c r="H655" t="str" cm="1">
        <f t="array" ref="H655">_xlfn.IFS(C655&lt;=5, "0–5 years", C655&lt;=10, "6–10 years", C655&lt;=15, "11–15 years", C655&lt;=20, "16–20 years", TRUE, "21–25 years")</f>
        <v>16–20 years</v>
      </c>
    </row>
    <row r="656" spans="1:8" x14ac:dyDescent="0.3">
      <c r="A656" t="s">
        <v>1777</v>
      </c>
      <c r="B656" t="s">
        <v>48</v>
      </c>
      <c r="C656">
        <v>24</v>
      </c>
      <c r="D656" s="9">
        <v>90.46</v>
      </c>
      <c r="E656" t="s">
        <v>1045</v>
      </c>
      <c r="F656" s="10">
        <v>3752.88</v>
      </c>
      <c r="G656">
        <f>Meter[[#This Row],[EstimatedLoss_RM]]/0.8</f>
        <v>4691.0999999999995</v>
      </c>
      <c r="H656" t="str" cm="1">
        <f t="array" ref="H656">_xlfn.IFS(C656&lt;=5, "0–5 years", C656&lt;=10, "6–10 years", C656&lt;=15, "11–15 years", C656&lt;=20, "16–20 years", TRUE, "21–25 years")</f>
        <v>21–25 years</v>
      </c>
    </row>
    <row r="657" spans="1:8" x14ac:dyDescent="0.3">
      <c r="A657" t="s">
        <v>1409</v>
      </c>
      <c r="B657" t="s">
        <v>38</v>
      </c>
      <c r="C657">
        <v>20</v>
      </c>
      <c r="D657" s="2">
        <v>90.45</v>
      </c>
      <c r="E657" t="s">
        <v>1045</v>
      </c>
      <c r="F657" s="11">
        <v>3758.38</v>
      </c>
      <c r="G657">
        <f>Meter[[#This Row],[EstimatedLoss_RM]]/0.8</f>
        <v>4697.9749999999995</v>
      </c>
      <c r="H657" t="str" cm="1">
        <f t="array" ref="H657">_xlfn.IFS(C657&lt;=5, "0–5 years", C657&lt;=10, "6–10 years", C657&lt;=15, "11–15 years", C657&lt;=20, "16–20 years", TRUE, "21–25 years")</f>
        <v>16–20 years</v>
      </c>
    </row>
    <row r="658" spans="1:8" x14ac:dyDescent="0.3">
      <c r="A658" t="s">
        <v>1317</v>
      </c>
      <c r="B658" t="s">
        <v>48</v>
      </c>
      <c r="C658">
        <v>14</v>
      </c>
      <c r="D658" s="9">
        <v>90.44</v>
      </c>
      <c r="E658" t="s">
        <v>1041</v>
      </c>
      <c r="F658" s="10">
        <v>3766.95</v>
      </c>
      <c r="G658">
        <f>Meter[[#This Row],[EstimatedLoss_RM]]/0.8</f>
        <v>4708.6874999999991</v>
      </c>
      <c r="H658" t="str" cm="1">
        <f t="array" ref="H658">_xlfn.IFS(C658&lt;=5, "0–5 years", C658&lt;=10, "6–10 years", C658&lt;=15, "11–15 years", C658&lt;=20, "16–20 years", TRUE, "21–25 years")</f>
        <v>11–15 years</v>
      </c>
    </row>
    <row r="659" spans="1:8" x14ac:dyDescent="0.3">
      <c r="A659" t="s">
        <v>1209</v>
      </c>
      <c r="B659" t="s">
        <v>44</v>
      </c>
      <c r="C659">
        <v>23</v>
      </c>
      <c r="D659" s="2">
        <v>90.44</v>
      </c>
      <c r="E659" t="s">
        <v>1041</v>
      </c>
      <c r="F659" s="11">
        <v>3763.26</v>
      </c>
      <c r="G659">
        <f>Meter[[#This Row],[EstimatedLoss_RM]]/0.8</f>
        <v>4704.0749999999998</v>
      </c>
      <c r="H659" t="str" cm="1">
        <f t="array" ref="H659">_xlfn.IFS(C659&lt;=5, "0–5 years", C659&lt;=10, "6–10 years", C659&lt;=15, "11–15 years", C659&lt;=20, "16–20 years", TRUE, "21–25 years")</f>
        <v>21–25 years</v>
      </c>
    </row>
    <row r="660" spans="1:8" x14ac:dyDescent="0.3">
      <c r="A660" t="s">
        <v>1208</v>
      </c>
      <c r="B660" t="s">
        <v>46</v>
      </c>
      <c r="C660">
        <v>21</v>
      </c>
      <c r="D660" s="9">
        <v>90.43</v>
      </c>
      <c r="E660" t="s">
        <v>1041</v>
      </c>
      <c r="F660" s="10">
        <v>3768.18</v>
      </c>
      <c r="G660">
        <f>Meter[[#This Row],[EstimatedLoss_RM]]/0.8</f>
        <v>4710.2249999999995</v>
      </c>
      <c r="H660" t="str" cm="1">
        <f t="array" ref="H660">_xlfn.IFS(C660&lt;=5, "0–5 years", C660&lt;=10, "6–10 years", C660&lt;=15, "11–15 years", C660&lt;=20, "16–20 years", TRUE, "21–25 years")</f>
        <v>21–25 years</v>
      </c>
    </row>
    <row r="661" spans="1:8" x14ac:dyDescent="0.3">
      <c r="A661" t="s">
        <v>1148</v>
      </c>
      <c r="B661" t="s">
        <v>50</v>
      </c>
      <c r="C661">
        <v>21</v>
      </c>
      <c r="D661" s="2">
        <v>90.41</v>
      </c>
      <c r="E661" t="s">
        <v>1041</v>
      </c>
      <c r="F661" s="11">
        <v>3777.27</v>
      </c>
      <c r="G661">
        <f>Meter[[#This Row],[EstimatedLoss_RM]]/0.8</f>
        <v>4721.5874999999996</v>
      </c>
      <c r="H661" t="str" cm="1">
        <f t="array" ref="H661">_xlfn.IFS(C661&lt;=5, "0–5 years", C661&lt;=10, "6–10 years", C661&lt;=15, "11–15 years", C661&lt;=20, "16–20 years", TRUE, "21–25 years")</f>
        <v>21–25 years</v>
      </c>
    </row>
    <row r="662" spans="1:8" x14ac:dyDescent="0.3">
      <c r="A662" t="s">
        <v>1880</v>
      </c>
      <c r="B662" t="s">
        <v>38</v>
      </c>
      <c r="C662">
        <v>14</v>
      </c>
      <c r="D662" s="9">
        <v>90.4</v>
      </c>
      <c r="E662" t="s">
        <v>1045</v>
      </c>
      <c r="F662" s="10">
        <v>3779.9</v>
      </c>
      <c r="G662">
        <f>Meter[[#This Row],[EstimatedLoss_RM]]/0.8</f>
        <v>4724.875</v>
      </c>
      <c r="H662" t="str" cm="1">
        <f t="array" ref="H662">_xlfn.IFS(C662&lt;=5, "0–5 years", C662&lt;=10, "6–10 years", C662&lt;=15, "11–15 years", C662&lt;=20, "16–20 years", TRUE, "21–25 years")</f>
        <v>11–15 years</v>
      </c>
    </row>
    <row r="663" spans="1:8" x14ac:dyDescent="0.3">
      <c r="A663" t="s">
        <v>1608</v>
      </c>
      <c r="B663" t="s">
        <v>45</v>
      </c>
      <c r="C663">
        <v>17</v>
      </c>
      <c r="D663" s="2">
        <v>90.38</v>
      </c>
      <c r="E663" t="s">
        <v>1045</v>
      </c>
      <c r="F663" s="11">
        <v>3785.38</v>
      </c>
      <c r="G663">
        <f>Meter[[#This Row],[EstimatedLoss_RM]]/0.8</f>
        <v>4731.7249999999995</v>
      </c>
      <c r="H663" t="str" cm="1">
        <f t="array" ref="H663">_xlfn.IFS(C663&lt;=5, "0–5 years", C663&lt;=10, "6–10 years", C663&lt;=15, "11–15 years", C663&lt;=20, "16–20 years", TRUE, "21–25 years")</f>
        <v>16–20 years</v>
      </c>
    </row>
    <row r="664" spans="1:8" x14ac:dyDescent="0.3">
      <c r="A664" t="s">
        <v>1569</v>
      </c>
      <c r="B664" t="s">
        <v>38</v>
      </c>
      <c r="C664">
        <v>11</v>
      </c>
      <c r="D664" s="9">
        <v>90.34</v>
      </c>
      <c r="E664" t="s">
        <v>1043</v>
      </c>
      <c r="F664" s="10">
        <v>3789</v>
      </c>
      <c r="G664">
        <f>Meter[[#This Row],[EstimatedLoss_RM]]/0.8</f>
        <v>4736.25</v>
      </c>
      <c r="H664" t="str" cm="1">
        <f t="array" ref="H664">_xlfn.IFS(C664&lt;=5, "0–5 years", C664&lt;=10, "6–10 years", C664&lt;=15, "11–15 years", C664&lt;=20, "16–20 years", TRUE, "21–25 years")</f>
        <v>11–15 years</v>
      </c>
    </row>
    <row r="665" spans="1:8" x14ac:dyDescent="0.3">
      <c r="A665" t="s">
        <v>1047</v>
      </c>
      <c r="B665" t="s">
        <v>46</v>
      </c>
      <c r="C665">
        <v>18</v>
      </c>
      <c r="D665" s="2">
        <v>90.33</v>
      </c>
      <c r="E665" t="s">
        <v>1041</v>
      </c>
      <c r="F665" s="11">
        <v>3789.68</v>
      </c>
      <c r="G665">
        <f>Meter[[#This Row],[EstimatedLoss_RM]]/0.8</f>
        <v>4737.0999999999995</v>
      </c>
      <c r="H665" t="str" cm="1">
        <f t="array" ref="H665">_xlfn.IFS(C665&lt;=5, "0–5 years", C665&lt;=10, "6–10 years", C665&lt;=15, "11–15 years", C665&lt;=20, "16–20 years", TRUE, "21–25 years")</f>
        <v>16–20 years</v>
      </c>
    </row>
    <row r="666" spans="1:8" x14ac:dyDescent="0.3">
      <c r="A666" t="s">
        <v>1337</v>
      </c>
      <c r="B666" t="s">
        <v>40</v>
      </c>
      <c r="C666">
        <v>21</v>
      </c>
      <c r="D666" s="9">
        <v>90.31</v>
      </c>
      <c r="E666" t="s">
        <v>1043</v>
      </c>
      <c r="F666" s="10">
        <v>3791.81</v>
      </c>
      <c r="G666">
        <f>Meter[[#This Row],[EstimatedLoss_RM]]/0.8</f>
        <v>4739.7624999999998</v>
      </c>
      <c r="H666" t="str" cm="1">
        <f t="array" ref="H666">_xlfn.IFS(C666&lt;=5, "0–5 years", C666&lt;=10, "6–10 years", C666&lt;=15, "11–15 years", C666&lt;=20, "16–20 years", TRUE, "21–25 years")</f>
        <v>21–25 years</v>
      </c>
    </row>
    <row r="667" spans="1:8" x14ac:dyDescent="0.3">
      <c r="A667" t="s">
        <v>1820</v>
      </c>
      <c r="B667" t="s">
        <v>39</v>
      </c>
      <c r="C667">
        <v>18</v>
      </c>
      <c r="D667" s="2">
        <v>90.3</v>
      </c>
      <c r="E667" t="s">
        <v>1041</v>
      </c>
      <c r="F667" s="11">
        <v>3798.93</v>
      </c>
      <c r="G667">
        <f>Meter[[#This Row],[EstimatedLoss_RM]]/0.8</f>
        <v>4748.6624999999995</v>
      </c>
      <c r="H667" t="str" cm="1">
        <f t="array" ref="H667">_xlfn.IFS(C667&lt;=5, "0–5 years", C667&lt;=10, "6–10 years", C667&lt;=15, "11–15 years", C667&lt;=20, "16–20 years", TRUE, "21–25 years")</f>
        <v>16–20 years</v>
      </c>
    </row>
    <row r="668" spans="1:8" x14ac:dyDescent="0.3">
      <c r="A668" t="s">
        <v>1138</v>
      </c>
      <c r="B668" t="s">
        <v>48</v>
      </c>
      <c r="C668">
        <v>12</v>
      </c>
      <c r="D668" s="9">
        <v>90.27</v>
      </c>
      <c r="E668" t="s">
        <v>1041</v>
      </c>
      <c r="F668" s="10">
        <v>3812.56</v>
      </c>
      <c r="G668">
        <f>Meter[[#This Row],[EstimatedLoss_RM]]/0.8</f>
        <v>4765.7</v>
      </c>
      <c r="H668" t="str" cm="1">
        <f t="array" ref="H668">_xlfn.IFS(C668&lt;=5, "0–5 years", C668&lt;=10, "6–10 years", C668&lt;=15, "11–15 years", C668&lt;=20, "16–20 years", TRUE, "21–25 years")</f>
        <v>11–15 years</v>
      </c>
    </row>
    <row r="669" spans="1:8" x14ac:dyDescent="0.3">
      <c r="A669" t="s">
        <v>1054</v>
      </c>
      <c r="B669" t="s">
        <v>48</v>
      </c>
      <c r="C669">
        <v>17</v>
      </c>
      <c r="D669" s="2">
        <v>90.27</v>
      </c>
      <c r="E669" t="s">
        <v>1043</v>
      </c>
      <c r="F669" s="11">
        <v>3803.44</v>
      </c>
      <c r="G669">
        <f>Meter[[#This Row],[EstimatedLoss_RM]]/0.8</f>
        <v>4754.3</v>
      </c>
      <c r="H669" t="str" cm="1">
        <f t="array" ref="H669">_xlfn.IFS(C669&lt;=5, "0–5 years", C669&lt;=10, "6–10 years", C669&lt;=15, "11–15 years", C669&lt;=20, "16–20 years", TRUE, "21–25 years")</f>
        <v>16–20 years</v>
      </c>
    </row>
    <row r="670" spans="1:8" x14ac:dyDescent="0.3">
      <c r="A670" t="s">
        <v>1254</v>
      </c>
      <c r="B670" t="s">
        <v>52</v>
      </c>
      <c r="C670">
        <v>25</v>
      </c>
      <c r="D670" s="9">
        <v>90.27</v>
      </c>
      <c r="E670" t="s">
        <v>1041</v>
      </c>
      <c r="F670" s="10">
        <v>3802.65</v>
      </c>
      <c r="G670">
        <f>Meter[[#This Row],[EstimatedLoss_RM]]/0.8</f>
        <v>4753.3125</v>
      </c>
      <c r="H670" t="str" cm="1">
        <f t="array" ref="H670">_xlfn.IFS(C670&lt;=5, "0–5 years", C670&lt;=10, "6–10 years", C670&lt;=15, "11–15 years", C670&lt;=20, "16–20 years", TRUE, "21–25 years")</f>
        <v>21–25 years</v>
      </c>
    </row>
    <row r="671" spans="1:8" x14ac:dyDescent="0.3">
      <c r="A671" t="s">
        <v>1289</v>
      </c>
      <c r="B671" t="s">
        <v>48</v>
      </c>
      <c r="C671">
        <v>17</v>
      </c>
      <c r="D671" s="2">
        <v>90.25</v>
      </c>
      <c r="E671" t="s">
        <v>1043</v>
      </c>
      <c r="F671" s="11">
        <v>3817.2</v>
      </c>
      <c r="G671">
        <f>Meter[[#This Row],[EstimatedLoss_RM]]/0.8</f>
        <v>4771.4999999999991</v>
      </c>
      <c r="H671" t="str" cm="1">
        <f t="array" ref="H671">_xlfn.IFS(C671&lt;=5, "0–5 years", C671&lt;=10, "6–10 years", C671&lt;=15, "11–15 years", C671&lt;=20, "16–20 years", TRUE, "21–25 years")</f>
        <v>16–20 years</v>
      </c>
    </row>
    <row r="672" spans="1:8" x14ac:dyDescent="0.3">
      <c r="A672" t="s">
        <v>1215</v>
      </c>
      <c r="B672" t="s">
        <v>53</v>
      </c>
      <c r="C672">
        <v>19</v>
      </c>
      <c r="D672" s="9">
        <v>90.25</v>
      </c>
      <c r="E672" t="s">
        <v>1043</v>
      </c>
      <c r="F672" s="10">
        <v>3815.23</v>
      </c>
      <c r="G672">
        <f>Meter[[#This Row],[EstimatedLoss_RM]]/0.8</f>
        <v>4769.0374999999995</v>
      </c>
      <c r="H672" t="str" cm="1">
        <f t="array" ref="H672">_xlfn.IFS(C672&lt;=5, "0–5 years", C672&lt;=10, "6–10 years", C672&lt;=15, "11–15 years", C672&lt;=20, "16–20 years", TRUE, "21–25 years")</f>
        <v>16–20 years</v>
      </c>
    </row>
    <row r="673" spans="1:8" x14ac:dyDescent="0.3">
      <c r="A673" t="s">
        <v>1103</v>
      </c>
      <c r="B673" t="s">
        <v>38</v>
      </c>
      <c r="C673">
        <v>17</v>
      </c>
      <c r="D673" s="2">
        <v>90.24</v>
      </c>
      <c r="E673" t="s">
        <v>1041</v>
      </c>
      <c r="F673" s="11">
        <v>3819.59</v>
      </c>
      <c r="G673">
        <f>Meter[[#This Row],[EstimatedLoss_RM]]/0.8</f>
        <v>4774.4875000000002</v>
      </c>
      <c r="H673" t="str" cm="1">
        <f t="array" ref="H673">_xlfn.IFS(C673&lt;=5, "0–5 years", C673&lt;=10, "6–10 years", C673&lt;=15, "11–15 years", C673&lt;=20, "16–20 years", TRUE, "21–25 years")</f>
        <v>16–20 years</v>
      </c>
    </row>
    <row r="674" spans="1:8" x14ac:dyDescent="0.3">
      <c r="A674" t="s">
        <v>1522</v>
      </c>
      <c r="B674" t="s">
        <v>45</v>
      </c>
      <c r="C674">
        <v>25</v>
      </c>
      <c r="D674" s="9">
        <v>90.24</v>
      </c>
      <c r="E674" t="s">
        <v>1043</v>
      </c>
      <c r="F674" s="10">
        <v>3821.63</v>
      </c>
      <c r="G674">
        <f>Meter[[#This Row],[EstimatedLoss_RM]]/0.8</f>
        <v>4777.0374999999995</v>
      </c>
      <c r="H674" t="str" cm="1">
        <f t="array" ref="H674">_xlfn.IFS(C674&lt;=5, "0–5 years", C674&lt;=10, "6–10 years", C674&lt;=15, "11–15 years", C674&lt;=20, "16–20 years", TRUE, "21–25 years")</f>
        <v>21–25 years</v>
      </c>
    </row>
    <row r="675" spans="1:8" x14ac:dyDescent="0.3">
      <c r="A675" t="s">
        <v>1599</v>
      </c>
      <c r="B675" t="s">
        <v>53</v>
      </c>
      <c r="C675">
        <v>17</v>
      </c>
      <c r="D675" s="2">
        <v>90.22</v>
      </c>
      <c r="E675" t="s">
        <v>1041</v>
      </c>
      <c r="F675" s="11">
        <v>3822.09</v>
      </c>
      <c r="G675">
        <f>Meter[[#This Row],[EstimatedLoss_RM]]/0.8</f>
        <v>4777.6125000000002</v>
      </c>
      <c r="H675" t="str" cm="1">
        <f t="array" ref="H675">_xlfn.IFS(C675&lt;=5, "0–5 years", C675&lt;=10, "6–10 years", C675&lt;=15, "11–15 years", C675&lt;=20, "16–20 years", TRUE, "21–25 years")</f>
        <v>16–20 years</v>
      </c>
    </row>
    <row r="676" spans="1:8" x14ac:dyDescent="0.3">
      <c r="A676" t="s">
        <v>1164</v>
      </c>
      <c r="B676" t="s">
        <v>48</v>
      </c>
      <c r="C676">
        <v>15</v>
      </c>
      <c r="D676" s="9">
        <v>90.18</v>
      </c>
      <c r="E676" t="s">
        <v>1041</v>
      </c>
      <c r="F676" s="10">
        <v>3823.63</v>
      </c>
      <c r="G676">
        <f>Meter[[#This Row],[EstimatedLoss_RM]]/0.8</f>
        <v>4779.5374999999995</v>
      </c>
      <c r="H676" t="str" cm="1">
        <f t="array" ref="H676">_xlfn.IFS(C676&lt;=5, "0–5 years", C676&lt;=10, "6–10 years", C676&lt;=15, "11–15 years", C676&lt;=20, "16–20 years", TRUE, "21–25 years")</f>
        <v>11–15 years</v>
      </c>
    </row>
    <row r="677" spans="1:8" x14ac:dyDescent="0.3">
      <c r="A677" t="s">
        <v>1268</v>
      </c>
      <c r="B677" t="s">
        <v>40</v>
      </c>
      <c r="C677">
        <v>25</v>
      </c>
      <c r="D677" s="2">
        <v>90.18</v>
      </c>
      <c r="E677" t="s">
        <v>1043</v>
      </c>
      <c r="F677" s="11">
        <v>3830.28</v>
      </c>
      <c r="G677">
        <f>Meter[[#This Row],[EstimatedLoss_RM]]/0.8</f>
        <v>4787.8500000000004</v>
      </c>
      <c r="H677" t="str" cm="1">
        <f t="array" ref="H677">_xlfn.IFS(C677&lt;=5, "0–5 years", C677&lt;=10, "6–10 years", C677&lt;=15, "11–15 years", C677&lt;=20, "16–20 years", TRUE, "21–25 years")</f>
        <v>21–25 years</v>
      </c>
    </row>
    <row r="678" spans="1:8" x14ac:dyDescent="0.3">
      <c r="A678" t="s">
        <v>1515</v>
      </c>
      <c r="B678" t="s">
        <v>45</v>
      </c>
      <c r="C678">
        <v>12</v>
      </c>
      <c r="D678" s="9">
        <v>90.17</v>
      </c>
      <c r="E678" t="s">
        <v>1043</v>
      </c>
      <c r="F678" s="10">
        <v>3848.09</v>
      </c>
      <c r="G678">
        <f>Meter[[#This Row],[EstimatedLoss_RM]]/0.8</f>
        <v>4810.1125000000002</v>
      </c>
      <c r="H678" t="str" cm="1">
        <f t="array" ref="H678">_xlfn.IFS(C678&lt;=5, "0–5 years", C678&lt;=10, "6–10 years", C678&lt;=15, "11–15 years", C678&lt;=20, "16–20 years", TRUE, "21–25 years")</f>
        <v>11–15 years</v>
      </c>
    </row>
    <row r="679" spans="1:8" x14ac:dyDescent="0.3">
      <c r="A679" t="s">
        <v>1265</v>
      </c>
      <c r="B679" t="s">
        <v>41</v>
      </c>
      <c r="C679">
        <v>23</v>
      </c>
      <c r="D679" s="2">
        <v>90.17</v>
      </c>
      <c r="E679" t="s">
        <v>1041</v>
      </c>
      <c r="F679" s="11">
        <v>3851.1</v>
      </c>
      <c r="G679">
        <f>Meter[[#This Row],[EstimatedLoss_RM]]/0.8</f>
        <v>4813.875</v>
      </c>
      <c r="H679" t="str" cm="1">
        <f t="array" ref="H679">_xlfn.IFS(C679&lt;=5, "0–5 years", C679&lt;=10, "6–10 years", C679&lt;=15, "11–15 years", C679&lt;=20, "16–20 years", TRUE, "21–25 years")</f>
        <v>21–25 years</v>
      </c>
    </row>
    <row r="680" spans="1:8" x14ac:dyDescent="0.3">
      <c r="A680" t="s">
        <v>1725</v>
      </c>
      <c r="B680" t="s">
        <v>41</v>
      </c>
      <c r="C680">
        <v>17</v>
      </c>
      <c r="D680" s="9">
        <v>90.15</v>
      </c>
      <c r="E680" t="s">
        <v>1041</v>
      </c>
      <c r="F680" s="10">
        <v>3863.77</v>
      </c>
      <c r="G680">
        <f>Meter[[#This Row],[EstimatedLoss_RM]]/0.8</f>
        <v>4829.7124999999996</v>
      </c>
      <c r="H680" t="str" cm="1">
        <f t="array" ref="H680">_xlfn.IFS(C680&lt;=5, "0–5 years", C680&lt;=10, "6–10 years", C680&lt;=15, "11–15 years", C680&lt;=20, "16–20 years", TRUE, "21–25 years")</f>
        <v>16–20 years</v>
      </c>
    </row>
    <row r="681" spans="1:8" x14ac:dyDescent="0.3">
      <c r="A681" t="s">
        <v>1605</v>
      </c>
      <c r="B681" t="s">
        <v>49</v>
      </c>
      <c r="C681">
        <v>24</v>
      </c>
      <c r="D681" s="2">
        <v>90.14</v>
      </c>
      <c r="E681" t="s">
        <v>1045</v>
      </c>
      <c r="F681" s="11">
        <v>3864.42</v>
      </c>
      <c r="G681">
        <f>Meter[[#This Row],[EstimatedLoss_RM]]/0.8</f>
        <v>4830.5249999999996</v>
      </c>
      <c r="H681" t="str" cm="1">
        <f t="array" ref="H681">_xlfn.IFS(C681&lt;=5, "0–5 years", C681&lt;=10, "6–10 years", C681&lt;=15, "11–15 years", C681&lt;=20, "16–20 years", TRUE, "21–25 years")</f>
        <v>21–25 years</v>
      </c>
    </row>
    <row r="682" spans="1:8" x14ac:dyDescent="0.3">
      <c r="A682" t="s">
        <v>1625</v>
      </c>
      <c r="B682" t="s">
        <v>43</v>
      </c>
      <c r="C682">
        <v>23</v>
      </c>
      <c r="D682" s="9">
        <v>90.07</v>
      </c>
      <c r="E682" t="s">
        <v>1043</v>
      </c>
      <c r="F682" s="10">
        <v>3867.74</v>
      </c>
      <c r="G682">
        <f>Meter[[#This Row],[EstimatedLoss_RM]]/0.8</f>
        <v>4834.6749999999993</v>
      </c>
      <c r="H682" t="str" cm="1">
        <f t="array" ref="H682">_xlfn.IFS(C682&lt;=5, "0–5 years", C682&lt;=10, "6–10 years", C682&lt;=15, "11–15 years", C682&lt;=20, "16–20 years", TRUE, "21–25 years")</f>
        <v>21–25 years</v>
      </c>
    </row>
    <row r="683" spans="1:8" x14ac:dyDescent="0.3">
      <c r="A683" t="s">
        <v>1443</v>
      </c>
      <c r="B683" t="s">
        <v>39</v>
      </c>
      <c r="C683">
        <v>12</v>
      </c>
      <c r="D683" s="2">
        <v>90.01</v>
      </c>
      <c r="E683" t="s">
        <v>1043</v>
      </c>
      <c r="F683" s="11">
        <v>3876.91</v>
      </c>
      <c r="G683">
        <f>Meter[[#This Row],[EstimatedLoss_RM]]/0.8</f>
        <v>4846.1374999999998</v>
      </c>
      <c r="H683" t="str" cm="1">
        <f t="array" ref="H683">_xlfn.IFS(C683&lt;=5, "0–5 years", C683&lt;=10, "6–10 years", C683&lt;=15, "11–15 years", C683&lt;=20, "16–20 years", TRUE, "21–25 years")</f>
        <v>11–15 years</v>
      </c>
    </row>
    <row r="684" spans="1:8" x14ac:dyDescent="0.3">
      <c r="A684" t="s">
        <v>1875</v>
      </c>
      <c r="B684" t="s">
        <v>48</v>
      </c>
      <c r="C684">
        <v>15</v>
      </c>
      <c r="D684" s="9">
        <v>89.99</v>
      </c>
      <c r="E684" t="s">
        <v>1045</v>
      </c>
      <c r="F684" s="10">
        <v>3877.6</v>
      </c>
      <c r="G684">
        <f>Meter[[#This Row],[EstimatedLoss_RM]]/0.8</f>
        <v>4847</v>
      </c>
      <c r="H684" t="str" cm="1">
        <f t="array" ref="H684">_xlfn.IFS(C684&lt;=5, "0–5 years", C684&lt;=10, "6–10 years", C684&lt;=15, "11–15 years", C684&lt;=20, "16–20 years", TRUE, "21–25 years")</f>
        <v>11–15 years</v>
      </c>
    </row>
    <row r="685" spans="1:8" x14ac:dyDescent="0.3">
      <c r="A685" t="s">
        <v>1204</v>
      </c>
      <c r="B685" t="s">
        <v>53</v>
      </c>
      <c r="C685">
        <v>24</v>
      </c>
      <c r="D685" s="2">
        <v>89.97</v>
      </c>
      <c r="E685" t="s">
        <v>1041</v>
      </c>
      <c r="F685" s="11">
        <v>3893.69</v>
      </c>
      <c r="G685">
        <f>Meter[[#This Row],[EstimatedLoss_RM]]/0.8</f>
        <v>4867.1125000000002</v>
      </c>
      <c r="H685" t="str" cm="1">
        <f t="array" ref="H685">_xlfn.IFS(C685&lt;=5, "0–5 years", C685&lt;=10, "6–10 years", C685&lt;=15, "11–15 years", C685&lt;=20, "16–20 years", TRUE, "21–25 years")</f>
        <v>21–25 years</v>
      </c>
    </row>
    <row r="686" spans="1:8" x14ac:dyDescent="0.3">
      <c r="A686" t="s">
        <v>1785</v>
      </c>
      <c r="B686" t="s">
        <v>38</v>
      </c>
      <c r="C686">
        <v>17</v>
      </c>
      <c r="D686" s="9">
        <v>89.95</v>
      </c>
      <c r="E686" t="s">
        <v>1041</v>
      </c>
      <c r="F686" s="10">
        <v>3896.78</v>
      </c>
      <c r="G686">
        <f>Meter[[#This Row],[EstimatedLoss_RM]]/0.8</f>
        <v>4870.9750000000004</v>
      </c>
      <c r="H686" t="str" cm="1">
        <f t="array" ref="H686">_xlfn.IFS(C686&lt;=5, "0–5 years", C686&lt;=10, "6–10 years", C686&lt;=15, "11–15 years", C686&lt;=20, "16–20 years", TRUE, "21–25 years")</f>
        <v>16–20 years</v>
      </c>
    </row>
    <row r="687" spans="1:8" x14ac:dyDescent="0.3">
      <c r="A687" t="s">
        <v>1883</v>
      </c>
      <c r="B687" t="s">
        <v>41</v>
      </c>
      <c r="C687">
        <v>20</v>
      </c>
      <c r="D687" s="2">
        <v>89.9</v>
      </c>
      <c r="E687" t="s">
        <v>1045</v>
      </c>
      <c r="F687" s="11">
        <v>3898.96</v>
      </c>
      <c r="G687">
        <f>Meter[[#This Row],[EstimatedLoss_RM]]/0.8</f>
        <v>4873.7</v>
      </c>
      <c r="H687" t="str" cm="1">
        <f t="array" ref="H687">_xlfn.IFS(C687&lt;=5, "0–5 years", C687&lt;=10, "6–10 years", C687&lt;=15, "11–15 years", C687&lt;=20, "16–20 years", TRUE, "21–25 years")</f>
        <v>16–20 years</v>
      </c>
    </row>
    <row r="688" spans="1:8" x14ac:dyDescent="0.3">
      <c r="A688" t="s">
        <v>1162</v>
      </c>
      <c r="B688" t="s">
        <v>47</v>
      </c>
      <c r="C688">
        <v>24</v>
      </c>
      <c r="D688" s="9">
        <v>89.9</v>
      </c>
      <c r="E688" t="s">
        <v>1043</v>
      </c>
      <c r="F688" s="10">
        <v>3902.44</v>
      </c>
      <c r="G688">
        <f>Meter[[#This Row],[EstimatedLoss_RM]]/0.8</f>
        <v>4878.05</v>
      </c>
      <c r="H688" t="str" cm="1">
        <f t="array" ref="H688">_xlfn.IFS(C688&lt;=5, "0–5 years", C688&lt;=10, "6–10 years", C688&lt;=15, "11–15 years", C688&lt;=20, "16–20 years", TRUE, "21–25 years")</f>
        <v>21–25 years</v>
      </c>
    </row>
    <row r="689" spans="1:8" x14ac:dyDescent="0.3">
      <c r="A689" t="s">
        <v>1801</v>
      </c>
      <c r="B689" t="s">
        <v>53</v>
      </c>
      <c r="C689">
        <v>16</v>
      </c>
      <c r="D689" s="2">
        <v>89.88</v>
      </c>
      <c r="E689" t="s">
        <v>1041</v>
      </c>
      <c r="F689" s="11">
        <v>3913.33</v>
      </c>
      <c r="G689">
        <f>Meter[[#This Row],[EstimatedLoss_RM]]/0.8</f>
        <v>4891.6624999999995</v>
      </c>
      <c r="H689" t="str" cm="1">
        <f t="array" ref="H689">_xlfn.IFS(C689&lt;=5, "0–5 years", C689&lt;=10, "6–10 years", C689&lt;=15, "11–15 years", C689&lt;=20, "16–20 years", TRUE, "21–25 years")</f>
        <v>16–20 years</v>
      </c>
    </row>
    <row r="690" spans="1:8" x14ac:dyDescent="0.3">
      <c r="A690" t="s">
        <v>1053</v>
      </c>
      <c r="B690" t="s">
        <v>48</v>
      </c>
      <c r="C690">
        <v>18</v>
      </c>
      <c r="D690" s="9">
        <v>89.87</v>
      </c>
      <c r="E690" t="s">
        <v>1043</v>
      </c>
      <c r="F690" s="10">
        <v>3920.52</v>
      </c>
      <c r="G690">
        <f>Meter[[#This Row],[EstimatedLoss_RM]]/0.8</f>
        <v>4900.6499999999996</v>
      </c>
      <c r="H690" t="str" cm="1">
        <f t="array" ref="H690">_xlfn.IFS(C690&lt;=5, "0–5 years", C690&lt;=10, "6–10 years", C690&lt;=15, "11–15 years", C690&lt;=20, "16–20 years", TRUE, "21–25 years")</f>
        <v>16–20 years</v>
      </c>
    </row>
    <row r="691" spans="1:8" x14ac:dyDescent="0.3">
      <c r="A691" t="s">
        <v>1751</v>
      </c>
      <c r="B691" t="s">
        <v>39</v>
      </c>
      <c r="C691">
        <v>10</v>
      </c>
      <c r="D691" s="2">
        <v>89.84</v>
      </c>
      <c r="E691" t="s">
        <v>1041</v>
      </c>
      <c r="F691" s="11">
        <v>3921.99</v>
      </c>
      <c r="G691">
        <f>Meter[[#This Row],[EstimatedLoss_RM]]/0.8</f>
        <v>4902.4874999999993</v>
      </c>
      <c r="H691" t="str" cm="1">
        <f t="array" ref="H691">_xlfn.IFS(C691&lt;=5, "0–5 years", C691&lt;=10, "6–10 years", C691&lt;=15, "11–15 years", C691&lt;=20, "16–20 years", TRUE, "21–25 years")</f>
        <v>6–10 years</v>
      </c>
    </row>
    <row r="692" spans="1:8" x14ac:dyDescent="0.3">
      <c r="A692" t="s">
        <v>1393</v>
      </c>
      <c r="B692" t="s">
        <v>44</v>
      </c>
      <c r="C692">
        <v>22</v>
      </c>
      <c r="D692" s="9">
        <v>89.82</v>
      </c>
      <c r="E692" t="s">
        <v>1041</v>
      </c>
      <c r="F692" s="10">
        <v>3922.35</v>
      </c>
      <c r="G692">
        <f>Meter[[#This Row],[EstimatedLoss_RM]]/0.8</f>
        <v>4902.9375</v>
      </c>
      <c r="H692" t="str" cm="1">
        <f t="array" ref="H692">_xlfn.IFS(C692&lt;=5, "0–5 years", C692&lt;=10, "6–10 years", C692&lt;=15, "11–15 years", C692&lt;=20, "16–20 years", TRUE, "21–25 years")</f>
        <v>21–25 years</v>
      </c>
    </row>
    <row r="693" spans="1:8" x14ac:dyDescent="0.3">
      <c r="A693" t="s">
        <v>1192</v>
      </c>
      <c r="B693" t="s">
        <v>40</v>
      </c>
      <c r="C693">
        <v>22</v>
      </c>
      <c r="D693" s="2">
        <v>89.79</v>
      </c>
      <c r="E693" t="s">
        <v>1041</v>
      </c>
      <c r="F693" s="11">
        <v>3922.54</v>
      </c>
      <c r="G693">
        <f>Meter[[#This Row],[EstimatedLoss_RM]]/0.8</f>
        <v>4903.1749999999993</v>
      </c>
      <c r="H693" t="str" cm="1">
        <f t="array" ref="H693">_xlfn.IFS(C693&lt;=5, "0–5 years", C693&lt;=10, "6–10 years", C693&lt;=15, "11–15 years", C693&lt;=20, "16–20 years", TRUE, "21–25 years")</f>
        <v>21–25 years</v>
      </c>
    </row>
    <row r="694" spans="1:8" x14ac:dyDescent="0.3">
      <c r="A694" t="s">
        <v>1197</v>
      </c>
      <c r="B694" t="s">
        <v>44</v>
      </c>
      <c r="C694">
        <v>22</v>
      </c>
      <c r="D694" s="9">
        <v>89.79</v>
      </c>
      <c r="E694" t="s">
        <v>1043</v>
      </c>
      <c r="F694" s="10">
        <v>3934.75</v>
      </c>
      <c r="G694">
        <f>Meter[[#This Row],[EstimatedLoss_RM]]/0.8</f>
        <v>4918.4375</v>
      </c>
      <c r="H694" t="str" cm="1">
        <f t="array" ref="H694">_xlfn.IFS(C694&lt;=5, "0–5 years", C694&lt;=10, "6–10 years", C694&lt;=15, "11–15 years", C694&lt;=20, "16–20 years", TRUE, "21–25 years")</f>
        <v>21–25 years</v>
      </c>
    </row>
    <row r="695" spans="1:8" x14ac:dyDescent="0.3">
      <c r="A695" t="s">
        <v>1848</v>
      </c>
      <c r="B695" t="s">
        <v>39</v>
      </c>
      <c r="C695">
        <v>19</v>
      </c>
      <c r="D695" s="2">
        <v>89.78</v>
      </c>
      <c r="E695" t="s">
        <v>1041</v>
      </c>
      <c r="F695" s="11">
        <v>3949.78</v>
      </c>
      <c r="G695">
        <f>Meter[[#This Row],[EstimatedLoss_RM]]/0.8</f>
        <v>4937.2250000000004</v>
      </c>
      <c r="H695" t="str" cm="1">
        <f t="array" ref="H695">_xlfn.IFS(C695&lt;=5, "0–5 years", C695&lt;=10, "6–10 years", C695&lt;=15, "11–15 years", C695&lt;=20, "16–20 years", TRUE, "21–25 years")</f>
        <v>16–20 years</v>
      </c>
    </row>
    <row r="696" spans="1:8" x14ac:dyDescent="0.3">
      <c r="A696" t="s">
        <v>1226</v>
      </c>
      <c r="B696" t="s">
        <v>49</v>
      </c>
      <c r="C696">
        <v>23</v>
      </c>
      <c r="D696" s="9">
        <v>89.76</v>
      </c>
      <c r="E696" t="s">
        <v>1043</v>
      </c>
      <c r="F696" s="10">
        <v>3965.27</v>
      </c>
      <c r="G696">
        <f>Meter[[#This Row],[EstimatedLoss_RM]]/0.8</f>
        <v>4956.5874999999996</v>
      </c>
      <c r="H696" t="str" cm="1">
        <f t="array" ref="H696">_xlfn.IFS(C696&lt;=5, "0–5 years", C696&lt;=10, "6–10 years", C696&lt;=15, "11–15 years", C696&lt;=20, "16–20 years", TRUE, "21–25 years")</f>
        <v>21–25 years</v>
      </c>
    </row>
    <row r="697" spans="1:8" x14ac:dyDescent="0.3">
      <c r="A697" t="s">
        <v>1455</v>
      </c>
      <c r="B697" t="s">
        <v>46</v>
      </c>
      <c r="C697">
        <v>13</v>
      </c>
      <c r="D697" s="2">
        <v>89.73</v>
      </c>
      <c r="E697" t="s">
        <v>1043</v>
      </c>
      <c r="F697" s="11">
        <v>3966.98</v>
      </c>
      <c r="G697">
        <f>Meter[[#This Row],[EstimatedLoss_RM]]/0.8</f>
        <v>4958.7249999999995</v>
      </c>
      <c r="H697" t="str" cm="1">
        <f t="array" ref="H697">_xlfn.IFS(C697&lt;=5, "0–5 years", C697&lt;=10, "6–10 years", C697&lt;=15, "11–15 years", C697&lt;=20, "16–20 years", TRUE, "21–25 years")</f>
        <v>11–15 years</v>
      </c>
    </row>
    <row r="698" spans="1:8" x14ac:dyDescent="0.3">
      <c r="A698" t="s">
        <v>1286</v>
      </c>
      <c r="B698" t="s">
        <v>50</v>
      </c>
      <c r="C698">
        <v>25</v>
      </c>
      <c r="D698" s="9">
        <v>89.73</v>
      </c>
      <c r="E698" t="s">
        <v>1043</v>
      </c>
      <c r="F698" s="10">
        <v>3967.23</v>
      </c>
      <c r="G698">
        <f>Meter[[#This Row],[EstimatedLoss_RM]]/0.8</f>
        <v>4959.0374999999995</v>
      </c>
      <c r="H698" t="str" cm="1">
        <f t="array" ref="H698">_xlfn.IFS(C698&lt;=5, "0–5 years", C698&lt;=10, "6–10 years", C698&lt;=15, "11–15 years", C698&lt;=20, "16–20 years", TRUE, "21–25 years")</f>
        <v>21–25 years</v>
      </c>
    </row>
    <row r="699" spans="1:8" x14ac:dyDescent="0.3">
      <c r="A699" t="s">
        <v>1628</v>
      </c>
      <c r="B699" t="s">
        <v>47</v>
      </c>
      <c r="C699">
        <v>22</v>
      </c>
      <c r="D699" s="2">
        <v>89.7</v>
      </c>
      <c r="E699" t="s">
        <v>1041</v>
      </c>
      <c r="F699" s="11">
        <v>3967.31</v>
      </c>
      <c r="G699">
        <f>Meter[[#This Row],[EstimatedLoss_RM]]/0.8</f>
        <v>4959.1374999999998</v>
      </c>
      <c r="H699" t="str" cm="1">
        <f t="array" ref="H699">_xlfn.IFS(C699&lt;=5, "0–5 years", C699&lt;=10, "6–10 years", C699&lt;=15, "11–15 years", C699&lt;=20, "16–20 years", TRUE, "21–25 years")</f>
        <v>21–25 years</v>
      </c>
    </row>
    <row r="700" spans="1:8" x14ac:dyDescent="0.3">
      <c r="A700" t="s">
        <v>1894</v>
      </c>
      <c r="B700" t="s">
        <v>52</v>
      </c>
      <c r="C700">
        <v>18</v>
      </c>
      <c r="D700" s="9">
        <v>89.69</v>
      </c>
      <c r="E700" t="s">
        <v>1045</v>
      </c>
      <c r="F700" s="10">
        <v>3968.24</v>
      </c>
      <c r="G700">
        <f>Meter[[#This Row],[EstimatedLoss_RM]]/0.8</f>
        <v>4960.2999999999993</v>
      </c>
      <c r="H700" t="str" cm="1">
        <f t="array" ref="H700">_xlfn.IFS(C700&lt;=5, "0–5 years", C700&lt;=10, "6–10 years", C700&lt;=15, "11–15 years", C700&lt;=20, "16–20 years", TRUE, "21–25 years")</f>
        <v>16–20 years</v>
      </c>
    </row>
    <row r="701" spans="1:8" x14ac:dyDescent="0.3">
      <c r="A701" t="s">
        <v>1814</v>
      </c>
      <c r="B701" t="s">
        <v>47</v>
      </c>
      <c r="C701">
        <v>18</v>
      </c>
      <c r="D701" s="2">
        <v>89.68</v>
      </c>
      <c r="E701" t="s">
        <v>1045</v>
      </c>
      <c r="F701" s="11">
        <v>3974.19</v>
      </c>
      <c r="G701">
        <f>Meter[[#This Row],[EstimatedLoss_RM]]/0.8</f>
        <v>4967.7375000000002</v>
      </c>
      <c r="H701" t="str" cm="1">
        <f t="array" ref="H701">_xlfn.IFS(C701&lt;=5, "0–5 years", C701&lt;=10, "6–10 years", C701&lt;=15, "11–15 years", C701&lt;=20, "16–20 years", TRUE, "21–25 years")</f>
        <v>16–20 years</v>
      </c>
    </row>
    <row r="702" spans="1:8" x14ac:dyDescent="0.3">
      <c r="A702" t="s">
        <v>1582</v>
      </c>
      <c r="B702" t="s">
        <v>47</v>
      </c>
      <c r="C702">
        <v>18</v>
      </c>
      <c r="D702" s="9">
        <v>89.65</v>
      </c>
      <c r="E702" t="s">
        <v>1041</v>
      </c>
      <c r="F702" s="10">
        <v>3982.37</v>
      </c>
      <c r="G702">
        <f>Meter[[#This Row],[EstimatedLoss_RM]]/0.8</f>
        <v>4977.9624999999996</v>
      </c>
      <c r="H702" t="str" cm="1">
        <f t="array" ref="H702">_xlfn.IFS(C702&lt;=5, "0–5 years", C702&lt;=10, "6–10 years", C702&lt;=15, "11–15 years", C702&lt;=20, "16–20 years", TRUE, "21–25 years")</f>
        <v>16–20 years</v>
      </c>
    </row>
    <row r="703" spans="1:8" x14ac:dyDescent="0.3">
      <c r="A703" t="s">
        <v>1662</v>
      </c>
      <c r="B703" t="s">
        <v>53</v>
      </c>
      <c r="C703">
        <v>22</v>
      </c>
      <c r="D703" s="2">
        <v>89.65</v>
      </c>
      <c r="E703" t="s">
        <v>1041</v>
      </c>
      <c r="F703" s="11">
        <v>3983.45</v>
      </c>
      <c r="G703">
        <f>Meter[[#This Row],[EstimatedLoss_RM]]/0.8</f>
        <v>4979.3124999999991</v>
      </c>
      <c r="H703" t="str" cm="1">
        <f t="array" ref="H703">_xlfn.IFS(C703&lt;=5, "0–5 years", C703&lt;=10, "6–10 years", C703&lt;=15, "11–15 years", C703&lt;=20, "16–20 years", TRUE, "21–25 years")</f>
        <v>21–25 years</v>
      </c>
    </row>
    <row r="704" spans="1:8" x14ac:dyDescent="0.3">
      <c r="A704" t="s">
        <v>1613</v>
      </c>
      <c r="B704" t="s">
        <v>46</v>
      </c>
      <c r="C704">
        <v>21</v>
      </c>
      <c r="D704" s="9">
        <v>89.64</v>
      </c>
      <c r="E704" t="s">
        <v>1043</v>
      </c>
      <c r="F704" s="10">
        <v>3990.52</v>
      </c>
      <c r="G704">
        <f>Meter[[#This Row],[EstimatedLoss_RM]]/0.8</f>
        <v>4988.1499999999996</v>
      </c>
      <c r="H704" t="str" cm="1">
        <f t="array" ref="H704">_xlfn.IFS(C704&lt;=5, "0–5 years", C704&lt;=10, "6–10 years", C704&lt;=15, "11–15 years", C704&lt;=20, "16–20 years", TRUE, "21–25 years")</f>
        <v>21–25 years</v>
      </c>
    </row>
    <row r="705" spans="1:8" x14ac:dyDescent="0.3">
      <c r="A705" t="s">
        <v>1822</v>
      </c>
      <c r="B705" t="s">
        <v>50</v>
      </c>
      <c r="C705">
        <v>24</v>
      </c>
      <c r="D705" s="2">
        <v>89.64</v>
      </c>
      <c r="E705" t="s">
        <v>1043</v>
      </c>
      <c r="F705" s="11">
        <v>3993.94</v>
      </c>
      <c r="G705">
        <f>Meter[[#This Row],[EstimatedLoss_RM]]/0.8</f>
        <v>4992.4250000000002</v>
      </c>
      <c r="H705" t="str" cm="1">
        <f t="array" ref="H705">_xlfn.IFS(C705&lt;=5, "0–5 years", C705&lt;=10, "6–10 years", C705&lt;=15, "11–15 years", C705&lt;=20, "16–20 years", TRUE, "21–25 years")</f>
        <v>21–25 years</v>
      </c>
    </row>
    <row r="706" spans="1:8" x14ac:dyDescent="0.3">
      <c r="A706" t="s">
        <v>1341</v>
      </c>
      <c r="B706" t="s">
        <v>43</v>
      </c>
      <c r="C706">
        <v>25</v>
      </c>
      <c r="D706" s="9">
        <v>89.63</v>
      </c>
      <c r="E706" t="s">
        <v>1041</v>
      </c>
      <c r="F706" s="10">
        <v>3995.35</v>
      </c>
      <c r="G706">
        <f>Meter[[#This Row],[EstimatedLoss_RM]]/0.8</f>
        <v>4994.1875</v>
      </c>
      <c r="H706" t="str" cm="1">
        <f t="array" ref="H706">_xlfn.IFS(C706&lt;=5, "0–5 years", C706&lt;=10, "6–10 years", C706&lt;=15, "11–15 years", C706&lt;=20, "16–20 years", TRUE, "21–25 years")</f>
        <v>21–25 years</v>
      </c>
    </row>
    <row r="707" spans="1:8" x14ac:dyDescent="0.3">
      <c r="A707" t="s">
        <v>1356</v>
      </c>
      <c r="B707" t="s">
        <v>43</v>
      </c>
      <c r="C707">
        <v>25</v>
      </c>
      <c r="D707" s="2">
        <v>89.63</v>
      </c>
      <c r="E707" t="s">
        <v>1045</v>
      </c>
      <c r="F707" s="11">
        <v>3995.47</v>
      </c>
      <c r="G707">
        <f>Meter[[#This Row],[EstimatedLoss_RM]]/0.8</f>
        <v>4994.3374999999996</v>
      </c>
      <c r="H707" t="str" cm="1">
        <f t="array" ref="H707">_xlfn.IFS(C707&lt;=5, "0–5 years", C707&lt;=10, "6–10 years", C707&lt;=15, "11–15 years", C707&lt;=20, "16–20 years", TRUE, "21–25 years")</f>
        <v>21–25 years</v>
      </c>
    </row>
    <row r="708" spans="1:8" x14ac:dyDescent="0.3">
      <c r="A708" t="s">
        <v>1201</v>
      </c>
      <c r="B708" t="s">
        <v>44</v>
      </c>
      <c r="C708">
        <v>15</v>
      </c>
      <c r="D708" s="9">
        <v>89.62</v>
      </c>
      <c r="E708" t="s">
        <v>1043</v>
      </c>
      <c r="F708" s="10">
        <v>4009.28</v>
      </c>
      <c r="G708">
        <f>Meter[[#This Row],[EstimatedLoss_RM]]/0.8</f>
        <v>5011.6000000000004</v>
      </c>
      <c r="H708" t="str" cm="1">
        <f t="array" ref="H708">_xlfn.IFS(C708&lt;=5, "0–5 years", C708&lt;=10, "6–10 years", C708&lt;=15, "11–15 years", C708&lt;=20, "16–20 years", TRUE, "21–25 years")</f>
        <v>11–15 years</v>
      </c>
    </row>
    <row r="709" spans="1:8" x14ac:dyDescent="0.3">
      <c r="A709" t="s">
        <v>1079</v>
      </c>
      <c r="B709" t="s">
        <v>39</v>
      </c>
      <c r="C709">
        <v>22</v>
      </c>
      <c r="D709" s="2">
        <v>89.62</v>
      </c>
      <c r="E709" t="s">
        <v>1043</v>
      </c>
      <c r="F709" s="11">
        <v>4007.12</v>
      </c>
      <c r="G709">
        <f>Meter[[#This Row],[EstimatedLoss_RM]]/0.8</f>
        <v>5008.8999999999996</v>
      </c>
      <c r="H709" t="str" cm="1">
        <f t="array" ref="H709">_xlfn.IFS(C709&lt;=5, "0–5 years", C709&lt;=10, "6–10 years", C709&lt;=15, "11–15 years", C709&lt;=20, "16–20 years", TRUE, "21–25 years")</f>
        <v>21–25 years</v>
      </c>
    </row>
    <row r="710" spans="1:8" x14ac:dyDescent="0.3">
      <c r="A710" t="s">
        <v>1287</v>
      </c>
      <c r="B710" t="s">
        <v>43</v>
      </c>
      <c r="C710">
        <v>15</v>
      </c>
      <c r="D710" s="9">
        <v>89.6</v>
      </c>
      <c r="E710" t="s">
        <v>1045</v>
      </c>
      <c r="F710" s="10">
        <v>4013.93</v>
      </c>
      <c r="G710">
        <f>Meter[[#This Row],[EstimatedLoss_RM]]/0.8</f>
        <v>5017.4124999999995</v>
      </c>
      <c r="H710" t="str" cm="1">
        <f t="array" ref="H710">_xlfn.IFS(C710&lt;=5, "0–5 years", C710&lt;=10, "6–10 years", C710&lt;=15, "11–15 years", C710&lt;=20, "16–20 years", TRUE, "21–25 years")</f>
        <v>11–15 years</v>
      </c>
    </row>
    <row r="711" spans="1:8" x14ac:dyDescent="0.3">
      <c r="A711" t="s">
        <v>1601</v>
      </c>
      <c r="B711" t="s">
        <v>41</v>
      </c>
      <c r="C711">
        <v>23</v>
      </c>
      <c r="D711" s="2">
        <v>89.59</v>
      </c>
      <c r="E711" t="s">
        <v>1041</v>
      </c>
      <c r="F711" s="11">
        <v>4020.49</v>
      </c>
      <c r="G711">
        <f>Meter[[#This Row],[EstimatedLoss_RM]]/0.8</f>
        <v>5025.6124999999993</v>
      </c>
      <c r="H711" t="str" cm="1">
        <f t="array" ref="H711">_xlfn.IFS(C711&lt;=5, "0–5 years", C711&lt;=10, "6–10 years", C711&lt;=15, "11–15 years", C711&lt;=20, "16–20 years", TRUE, "21–25 years")</f>
        <v>21–25 years</v>
      </c>
    </row>
    <row r="712" spans="1:8" x14ac:dyDescent="0.3">
      <c r="A712" t="s">
        <v>1330</v>
      </c>
      <c r="B712" t="s">
        <v>39</v>
      </c>
      <c r="C712">
        <v>24</v>
      </c>
      <c r="D712" s="9">
        <v>89.58</v>
      </c>
      <c r="E712" t="s">
        <v>1043</v>
      </c>
      <c r="F712" s="10">
        <v>4026.01</v>
      </c>
      <c r="G712">
        <f>Meter[[#This Row],[EstimatedLoss_RM]]/0.8</f>
        <v>5032.5124999999998</v>
      </c>
      <c r="H712" t="str" cm="1">
        <f t="array" ref="H712">_xlfn.IFS(C712&lt;=5, "0–5 years", C712&lt;=10, "6–10 years", C712&lt;=15, "11–15 years", C712&lt;=20, "16–20 years", TRUE, "21–25 years")</f>
        <v>21–25 years</v>
      </c>
    </row>
    <row r="713" spans="1:8" x14ac:dyDescent="0.3">
      <c r="A713" t="s">
        <v>1163</v>
      </c>
      <c r="B713" t="s">
        <v>45</v>
      </c>
      <c r="C713">
        <v>25</v>
      </c>
      <c r="D713" s="2">
        <v>89.58</v>
      </c>
      <c r="E713" t="s">
        <v>1041</v>
      </c>
      <c r="F713" s="11">
        <v>4024.15</v>
      </c>
      <c r="G713">
        <f>Meter[[#This Row],[EstimatedLoss_RM]]/0.8</f>
        <v>5030.1875</v>
      </c>
      <c r="H713" t="str" cm="1">
        <f t="array" ref="H713">_xlfn.IFS(C713&lt;=5, "0–5 years", C713&lt;=10, "6–10 years", C713&lt;=15, "11–15 years", C713&lt;=20, "16–20 years", TRUE, "21–25 years")</f>
        <v>21–25 years</v>
      </c>
    </row>
    <row r="714" spans="1:8" x14ac:dyDescent="0.3">
      <c r="A714" t="s">
        <v>1310</v>
      </c>
      <c r="B714" t="s">
        <v>40</v>
      </c>
      <c r="C714">
        <v>14</v>
      </c>
      <c r="D714" s="9">
        <v>89.54</v>
      </c>
      <c r="E714" t="s">
        <v>1045</v>
      </c>
      <c r="F714" s="10">
        <v>4026.94</v>
      </c>
      <c r="G714">
        <f>Meter[[#This Row],[EstimatedLoss_RM]]/0.8</f>
        <v>5033.6750000000002</v>
      </c>
      <c r="H714" t="str" cm="1">
        <f t="array" ref="H714">_xlfn.IFS(C714&lt;=5, "0–5 years", C714&lt;=10, "6–10 years", C714&lt;=15, "11–15 years", C714&lt;=20, "16–20 years", TRUE, "21–25 years")</f>
        <v>11–15 years</v>
      </c>
    </row>
    <row r="715" spans="1:8" x14ac:dyDescent="0.3">
      <c r="A715" t="s">
        <v>1305</v>
      </c>
      <c r="B715" t="s">
        <v>44</v>
      </c>
      <c r="C715">
        <v>5</v>
      </c>
      <c r="D715" s="2">
        <v>89.52</v>
      </c>
      <c r="E715" t="s">
        <v>1041</v>
      </c>
      <c r="F715" s="11">
        <v>4032.42</v>
      </c>
      <c r="G715">
        <f>Meter[[#This Row],[EstimatedLoss_RM]]/0.8</f>
        <v>5040.5249999999996</v>
      </c>
      <c r="H715" t="str" cm="1">
        <f t="array" ref="H715">_xlfn.IFS(C715&lt;=5, "0–5 years", C715&lt;=10, "6–10 years", C715&lt;=15, "11–15 years", C715&lt;=20, "16–20 years", TRUE, "21–25 years")</f>
        <v>0–5 years</v>
      </c>
    </row>
    <row r="716" spans="1:8" x14ac:dyDescent="0.3">
      <c r="A716" t="s">
        <v>1510</v>
      </c>
      <c r="B716" t="s">
        <v>47</v>
      </c>
      <c r="C716">
        <v>25</v>
      </c>
      <c r="D716" s="9">
        <v>89.52</v>
      </c>
      <c r="E716" t="s">
        <v>1043</v>
      </c>
      <c r="F716" s="10">
        <v>4037.32</v>
      </c>
      <c r="G716">
        <f>Meter[[#This Row],[EstimatedLoss_RM]]/0.8</f>
        <v>5046.6499999999996</v>
      </c>
      <c r="H716" t="str" cm="1">
        <f t="array" ref="H716">_xlfn.IFS(C716&lt;=5, "0–5 years", C716&lt;=10, "6–10 years", C716&lt;=15, "11–15 years", C716&lt;=20, "16–20 years", TRUE, "21–25 years")</f>
        <v>21–25 years</v>
      </c>
    </row>
    <row r="717" spans="1:8" x14ac:dyDescent="0.3">
      <c r="A717" t="s">
        <v>1641</v>
      </c>
      <c r="B717" t="s">
        <v>47</v>
      </c>
      <c r="C717">
        <v>19</v>
      </c>
      <c r="D717" s="2">
        <v>89.51</v>
      </c>
      <c r="E717" t="s">
        <v>1043</v>
      </c>
      <c r="F717" s="11">
        <v>4038.09</v>
      </c>
      <c r="G717">
        <f>Meter[[#This Row],[EstimatedLoss_RM]]/0.8</f>
        <v>5047.6125000000002</v>
      </c>
      <c r="H717" t="str" cm="1">
        <f t="array" ref="H717">_xlfn.IFS(C717&lt;=5, "0–5 years", C717&lt;=10, "6–10 years", C717&lt;=15, "11–15 years", C717&lt;=20, "16–20 years", TRUE, "21–25 years")</f>
        <v>16–20 years</v>
      </c>
    </row>
    <row r="718" spans="1:8" x14ac:dyDescent="0.3">
      <c r="A718" t="s">
        <v>1711</v>
      </c>
      <c r="B718" t="s">
        <v>38</v>
      </c>
      <c r="C718">
        <v>8</v>
      </c>
      <c r="D718" s="9">
        <v>89.5</v>
      </c>
      <c r="E718" t="s">
        <v>1045</v>
      </c>
      <c r="F718" s="10">
        <v>4040.57</v>
      </c>
      <c r="G718">
        <f>Meter[[#This Row],[EstimatedLoss_RM]]/0.8</f>
        <v>5050.7124999999996</v>
      </c>
      <c r="H718" t="str" cm="1">
        <f t="array" ref="H718">_xlfn.IFS(C718&lt;=5, "0–5 years", C718&lt;=10, "6–10 years", C718&lt;=15, "11–15 years", C718&lt;=20, "16–20 years", TRUE, "21–25 years")</f>
        <v>6–10 years</v>
      </c>
    </row>
    <row r="719" spans="1:8" x14ac:dyDescent="0.3">
      <c r="A719" t="s">
        <v>1632</v>
      </c>
      <c r="B719" t="s">
        <v>53</v>
      </c>
      <c r="C719">
        <v>17</v>
      </c>
      <c r="D719" s="2">
        <v>89.49</v>
      </c>
      <c r="E719" t="s">
        <v>1045</v>
      </c>
      <c r="F719" s="11">
        <v>4044.48</v>
      </c>
      <c r="G719">
        <f>Meter[[#This Row],[EstimatedLoss_RM]]/0.8</f>
        <v>5055.5999999999995</v>
      </c>
      <c r="H719" t="str" cm="1">
        <f t="array" ref="H719">_xlfn.IFS(C719&lt;=5, "0–5 years", C719&lt;=10, "6–10 years", C719&lt;=15, "11–15 years", C719&lt;=20, "16–20 years", TRUE, "21–25 years")</f>
        <v>16–20 years</v>
      </c>
    </row>
    <row r="720" spans="1:8" x14ac:dyDescent="0.3">
      <c r="A720" t="s">
        <v>1538</v>
      </c>
      <c r="B720" t="s">
        <v>41</v>
      </c>
      <c r="C720">
        <v>24</v>
      </c>
      <c r="D720" s="9">
        <v>89.48</v>
      </c>
      <c r="E720" t="s">
        <v>1043</v>
      </c>
      <c r="F720" s="10">
        <v>4045.62</v>
      </c>
      <c r="G720">
        <f>Meter[[#This Row],[EstimatedLoss_RM]]/0.8</f>
        <v>5057.0249999999996</v>
      </c>
      <c r="H720" t="str" cm="1">
        <f t="array" ref="H720">_xlfn.IFS(C720&lt;=5, "0–5 years", C720&lt;=10, "6–10 years", C720&lt;=15, "11–15 years", C720&lt;=20, "16–20 years", TRUE, "21–25 years")</f>
        <v>21–25 years</v>
      </c>
    </row>
    <row r="721" spans="1:8" x14ac:dyDescent="0.3">
      <c r="A721" t="s">
        <v>1563</v>
      </c>
      <c r="B721" t="s">
        <v>49</v>
      </c>
      <c r="C721">
        <v>13</v>
      </c>
      <c r="D721" s="2">
        <v>89.46</v>
      </c>
      <c r="E721" t="s">
        <v>1041</v>
      </c>
      <c r="F721" s="11">
        <v>4056.06</v>
      </c>
      <c r="G721">
        <f>Meter[[#This Row],[EstimatedLoss_RM]]/0.8</f>
        <v>5070.0749999999998</v>
      </c>
      <c r="H721" t="str" cm="1">
        <f t="array" ref="H721">_xlfn.IFS(C721&lt;=5, "0–5 years", C721&lt;=10, "6–10 years", C721&lt;=15, "11–15 years", C721&lt;=20, "16–20 years", TRUE, "21–25 years")</f>
        <v>11–15 years</v>
      </c>
    </row>
    <row r="722" spans="1:8" x14ac:dyDescent="0.3">
      <c r="A722" t="s">
        <v>1387</v>
      </c>
      <c r="B722" t="s">
        <v>42</v>
      </c>
      <c r="C722">
        <v>19</v>
      </c>
      <c r="D722" s="9">
        <v>89.46</v>
      </c>
      <c r="E722" t="s">
        <v>1043</v>
      </c>
      <c r="F722" s="10">
        <v>4048.86</v>
      </c>
      <c r="G722">
        <f>Meter[[#This Row],[EstimatedLoss_RM]]/0.8</f>
        <v>5061.0749999999998</v>
      </c>
      <c r="H722" t="str" cm="1">
        <f t="array" ref="H722">_xlfn.IFS(C722&lt;=5, "0–5 years", C722&lt;=10, "6–10 years", C722&lt;=15, "11–15 years", C722&lt;=20, "16–20 years", TRUE, "21–25 years")</f>
        <v>16–20 years</v>
      </c>
    </row>
    <row r="723" spans="1:8" x14ac:dyDescent="0.3">
      <c r="A723" t="s">
        <v>1195</v>
      </c>
      <c r="B723" t="s">
        <v>43</v>
      </c>
      <c r="C723">
        <v>18</v>
      </c>
      <c r="D723" s="2">
        <v>89.44</v>
      </c>
      <c r="E723" t="s">
        <v>1041</v>
      </c>
      <c r="F723" s="11">
        <v>4056.57</v>
      </c>
      <c r="G723">
        <f>Meter[[#This Row],[EstimatedLoss_RM]]/0.8</f>
        <v>5070.7124999999996</v>
      </c>
      <c r="H723" t="str" cm="1">
        <f t="array" ref="H723">_xlfn.IFS(C723&lt;=5, "0–5 years", C723&lt;=10, "6–10 years", C723&lt;=15, "11–15 years", C723&lt;=20, "16–20 years", TRUE, "21–25 years")</f>
        <v>16–20 years</v>
      </c>
    </row>
    <row r="724" spans="1:8" x14ac:dyDescent="0.3">
      <c r="A724" t="s">
        <v>1411</v>
      </c>
      <c r="B724" t="s">
        <v>53</v>
      </c>
      <c r="C724">
        <v>22</v>
      </c>
      <c r="D724" s="9">
        <v>89.4</v>
      </c>
      <c r="E724" t="s">
        <v>1043</v>
      </c>
      <c r="F724" s="10">
        <v>4057.91</v>
      </c>
      <c r="G724">
        <f>Meter[[#This Row],[EstimatedLoss_RM]]/0.8</f>
        <v>5072.3874999999998</v>
      </c>
      <c r="H724" t="str" cm="1">
        <f t="array" ref="H724">_xlfn.IFS(C724&lt;=5, "0–5 years", C724&lt;=10, "6–10 years", C724&lt;=15, "11–15 years", C724&lt;=20, "16–20 years", TRUE, "21–25 years")</f>
        <v>21–25 years</v>
      </c>
    </row>
    <row r="725" spans="1:8" x14ac:dyDescent="0.3">
      <c r="A725" t="s">
        <v>1105</v>
      </c>
      <c r="B725" t="s">
        <v>39</v>
      </c>
      <c r="C725">
        <v>16</v>
      </c>
      <c r="D725" s="2">
        <v>89.39</v>
      </c>
      <c r="E725" t="s">
        <v>1041</v>
      </c>
      <c r="F725" s="11">
        <v>4063.12</v>
      </c>
      <c r="G725">
        <f>Meter[[#This Row],[EstimatedLoss_RM]]/0.8</f>
        <v>5078.8999999999996</v>
      </c>
      <c r="H725" t="str" cm="1">
        <f t="array" ref="H725">_xlfn.IFS(C725&lt;=5, "0–5 years", C725&lt;=10, "6–10 years", C725&lt;=15, "11–15 years", C725&lt;=20, "16–20 years", TRUE, "21–25 years")</f>
        <v>16–20 years</v>
      </c>
    </row>
    <row r="726" spans="1:8" x14ac:dyDescent="0.3">
      <c r="A726" t="s">
        <v>1153</v>
      </c>
      <c r="B726" t="s">
        <v>39</v>
      </c>
      <c r="C726">
        <v>12</v>
      </c>
      <c r="D726" s="9">
        <v>89.36</v>
      </c>
      <c r="E726" t="s">
        <v>1045</v>
      </c>
      <c r="F726" s="10">
        <v>4064.16</v>
      </c>
      <c r="G726">
        <f>Meter[[#This Row],[EstimatedLoss_RM]]/0.8</f>
        <v>5080.2</v>
      </c>
      <c r="H726" t="str" cm="1">
        <f t="array" ref="H726">_xlfn.IFS(C726&lt;=5, "0–5 years", C726&lt;=10, "6–10 years", C726&lt;=15, "11–15 years", C726&lt;=20, "16–20 years", TRUE, "21–25 years")</f>
        <v>11–15 years</v>
      </c>
    </row>
    <row r="727" spans="1:8" x14ac:dyDescent="0.3">
      <c r="A727" t="s">
        <v>1635</v>
      </c>
      <c r="B727" t="s">
        <v>53</v>
      </c>
      <c r="C727">
        <v>24</v>
      </c>
      <c r="D727" s="2">
        <v>89.36</v>
      </c>
      <c r="E727" t="s">
        <v>1041</v>
      </c>
      <c r="F727" s="11">
        <v>4064.87</v>
      </c>
      <c r="G727">
        <f>Meter[[#This Row],[EstimatedLoss_RM]]/0.8</f>
        <v>5081.0874999999996</v>
      </c>
      <c r="H727" t="str" cm="1">
        <f t="array" ref="H727">_xlfn.IFS(C727&lt;=5, "0–5 years", C727&lt;=10, "6–10 years", C727&lt;=15, "11–15 years", C727&lt;=20, "16–20 years", TRUE, "21–25 years")</f>
        <v>21–25 years</v>
      </c>
    </row>
    <row r="728" spans="1:8" x14ac:dyDescent="0.3">
      <c r="A728" t="s">
        <v>1656</v>
      </c>
      <c r="B728" t="s">
        <v>40</v>
      </c>
      <c r="C728">
        <v>16</v>
      </c>
      <c r="D728" s="9">
        <v>89.35</v>
      </c>
      <c r="E728" t="s">
        <v>1041</v>
      </c>
      <c r="F728" s="10">
        <v>4066.64</v>
      </c>
      <c r="G728">
        <f>Meter[[#This Row],[EstimatedLoss_RM]]/0.8</f>
        <v>5083.2999999999993</v>
      </c>
      <c r="H728" t="str" cm="1">
        <f t="array" ref="H728">_xlfn.IFS(C728&lt;=5, "0–5 years", C728&lt;=10, "6–10 years", C728&lt;=15, "11–15 years", C728&lt;=20, "16–20 years", TRUE, "21–25 years")</f>
        <v>16–20 years</v>
      </c>
    </row>
    <row r="729" spans="1:8" x14ac:dyDescent="0.3">
      <c r="A729" t="s">
        <v>1553</v>
      </c>
      <c r="B729" t="s">
        <v>50</v>
      </c>
      <c r="C729">
        <v>23</v>
      </c>
      <c r="D729" s="2">
        <v>89.34</v>
      </c>
      <c r="E729" t="s">
        <v>1045</v>
      </c>
      <c r="F729" s="11">
        <v>4067.96</v>
      </c>
      <c r="G729">
        <f>Meter[[#This Row],[EstimatedLoss_RM]]/0.8</f>
        <v>5084.95</v>
      </c>
      <c r="H729" t="str" cm="1">
        <f t="array" ref="H729">_xlfn.IFS(C729&lt;=5, "0–5 years", C729&lt;=10, "6–10 years", C729&lt;=15, "11–15 years", C729&lt;=20, "16–20 years", TRUE, "21–25 years")</f>
        <v>21–25 years</v>
      </c>
    </row>
    <row r="730" spans="1:8" x14ac:dyDescent="0.3">
      <c r="A730" t="s">
        <v>1771</v>
      </c>
      <c r="B730" t="s">
        <v>43</v>
      </c>
      <c r="C730">
        <v>19</v>
      </c>
      <c r="D730" s="9">
        <v>89.32</v>
      </c>
      <c r="E730" t="s">
        <v>1043</v>
      </c>
      <c r="F730" s="10">
        <v>4070.22</v>
      </c>
      <c r="G730">
        <f>Meter[[#This Row],[EstimatedLoss_RM]]/0.8</f>
        <v>5087.7749999999996</v>
      </c>
      <c r="H730" t="str" cm="1">
        <f t="array" ref="H730">_xlfn.IFS(C730&lt;=5, "0–5 years", C730&lt;=10, "6–10 years", C730&lt;=15, "11–15 years", C730&lt;=20, "16–20 years", TRUE, "21–25 years")</f>
        <v>16–20 years</v>
      </c>
    </row>
    <row r="731" spans="1:8" x14ac:dyDescent="0.3">
      <c r="A731" t="s">
        <v>1524</v>
      </c>
      <c r="B731" t="s">
        <v>46</v>
      </c>
      <c r="C731">
        <v>17</v>
      </c>
      <c r="D731" s="2">
        <v>89.29</v>
      </c>
      <c r="E731" t="s">
        <v>1041</v>
      </c>
      <c r="F731" s="11">
        <v>4071.02</v>
      </c>
      <c r="G731">
        <f>Meter[[#This Row],[EstimatedLoss_RM]]/0.8</f>
        <v>5088.7749999999996</v>
      </c>
      <c r="H731" t="str" cm="1">
        <f t="array" ref="H731">_xlfn.IFS(C731&lt;=5, "0–5 years", C731&lt;=10, "6–10 years", C731&lt;=15, "11–15 years", C731&lt;=20, "16–20 years", TRUE, "21–25 years")</f>
        <v>16–20 years</v>
      </c>
    </row>
    <row r="732" spans="1:8" x14ac:dyDescent="0.3">
      <c r="A732" t="s">
        <v>1275</v>
      </c>
      <c r="B732" t="s">
        <v>46</v>
      </c>
      <c r="C732">
        <v>22</v>
      </c>
      <c r="D732" s="9">
        <v>89.29</v>
      </c>
      <c r="E732" t="s">
        <v>1041</v>
      </c>
      <c r="F732" s="10">
        <v>4084.11</v>
      </c>
      <c r="G732">
        <f>Meter[[#This Row],[EstimatedLoss_RM]]/0.8</f>
        <v>5105.1374999999998</v>
      </c>
      <c r="H732" t="str" cm="1">
        <f t="array" ref="H732">_xlfn.IFS(C732&lt;=5, "0–5 years", C732&lt;=10, "6–10 years", C732&lt;=15, "11–15 years", C732&lt;=20, "16–20 years", TRUE, "21–25 years")</f>
        <v>21–25 years</v>
      </c>
    </row>
    <row r="733" spans="1:8" x14ac:dyDescent="0.3">
      <c r="A733" t="s">
        <v>1384</v>
      </c>
      <c r="B733" t="s">
        <v>48</v>
      </c>
      <c r="C733">
        <v>23</v>
      </c>
      <c r="D733" s="2">
        <v>89.29</v>
      </c>
      <c r="E733" t="s">
        <v>1045</v>
      </c>
      <c r="F733" s="11">
        <v>4075.46</v>
      </c>
      <c r="G733">
        <f>Meter[[#This Row],[EstimatedLoss_RM]]/0.8</f>
        <v>5094.3249999999998</v>
      </c>
      <c r="H733" t="str" cm="1">
        <f t="array" ref="H733">_xlfn.IFS(C733&lt;=5, "0–5 years", C733&lt;=10, "6–10 years", C733&lt;=15, "11–15 years", C733&lt;=20, "16–20 years", TRUE, "21–25 years")</f>
        <v>21–25 years</v>
      </c>
    </row>
    <row r="734" spans="1:8" x14ac:dyDescent="0.3">
      <c r="A734" t="s">
        <v>1344</v>
      </c>
      <c r="B734" t="s">
        <v>39</v>
      </c>
      <c r="C734">
        <v>19</v>
      </c>
      <c r="D734" s="9">
        <v>89.28</v>
      </c>
      <c r="E734" t="s">
        <v>1041</v>
      </c>
      <c r="F734" s="10">
        <v>4086.53</v>
      </c>
      <c r="G734">
        <f>Meter[[#This Row],[EstimatedLoss_RM]]/0.8</f>
        <v>5108.1625000000004</v>
      </c>
      <c r="H734" t="str" cm="1">
        <f t="array" ref="H734">_xlfn.IFS(C734&lt;=5, "0–5 years", C734&lt;=10, "6–10 years", C734&lt;=15, "11–15 years", C734&lt;=20, "16–20 years", TRUE, "21–25 years")</f>
        <v>16–20 years</v>
      </c>
    </row>
    <row r="735" spans="1:8" x14ac:dyDescent="0.3">
      <c r="A735" t="s">
        <v>1092</v>
      </c>
      <c r="B735" t="s">
        <v>40</v>
      </c>
      <c r="C735">
        <v>13</v>
      </c>
      <c r="D735" s="2">
        <v>89.27</v>
      </c>
      <c r="E735" t="s">
        <v>1045</v>
      </c>
      <c r="F735" s="11">
        <v>4090.97</v>
      </c>
      <c r="G735">
        <f>Meter[[#This Row],[EstimatedLoss_RM]]/0.8</f>
        <v>5113.7124999999996</v>
      </c>
      <c r="H735" t="str" cm="1">
        <f t="array" ref="H735">_xlfn.IFS(C735&lt;=5, "0–5 years", C735&lt;=10, "6–10 years", C735&lt;=15, "11–15 years", C735&lt;=20, "16–20 years", TRUE, "21–25 years")</f>
        <v>11–15 years</v>
      </c>
    </row>
    <row r="736" spans="1:8" x14ac:dyDescent="0.3">
      <c r="A736" t="s">
        <v>1219</v>
      </c>
      <c r="B736" t="s">
        <v>47</v>
      </c>
      <c r="C736">
        <v>22</v>
      </c>
      <c r="D736" s="9">
        <v>89.23</v>
      </c>
      <c r="E736" t="s">
        <v>1043</v>
      </c>
      <c r="F736" s="10">
        <v>4112.6000000000004</v>
      </c>
      <c r="G736">
        <f>Meter[[#This Row],[EstimatedLoss_RM]]/0.8</f>
        <v>5140.75</v>
      </c>
      <c r="H736" t="str" cm="1">
        <f t="array" ref="H736">_xlfn.IFS(C736&lt;=5, "0–5 years", C736&lt;=10, "6–10 years", C736&lt;=15, "11–15 years", C736&lt;=20, "16–20 years", TRUE, "21–25 years")</f>
        <v>21–25 years</v>
      </c>
    </row>
    <row r="737" spans="1:8" x14ac:dyDescent="0.3">
      <c r="A737" t="s">
        <v>1736</v>
      </c>
      <c r="B737" t="s">
        <v>38</v>
      </c>
      <c r="C737">
        <v>25</v>
      </c>
      <c r="D737" s="2">
        <v>89.23</v>
      </c>
      <c r="E737" t="s">
        <v>1045</v>
      </c>
      <c r="F737" s="11">
        <v>4111.32</v>
      </c>
      <c r="G737">
        <f>Meter[[#This Row],[EstimatedLoss_RM]]/0.8</f>
        <v>5139.1499999999996</v>
      </c>
      <c r="H737" t="str" cm="1">
        <f t="array" ref="H737">_xlfn.IFS(C737&lt;=5, "0–5 years", C737&lt;=10, "6–10 years", C737&lt;=15, "11–15 years", C737&lt;=20, "16–20 years", TRUE, "21–25 years")</f>
        <v>21–25 years</v>
      </c>
    </row>
    <row r="738" spans="1:8" x14ac:dyDescent="0.3">
      <c r="A738" t="s">
        <v>1364</v>
      </c>
      <c r="B738" t="s">
        <v>52</v>
      </c>
      <c r="C738">
        <v>25</v>
      </c>
      <c r="D738" s="9">
        <v>89.19</v>
      </c>
      <c r="E738" t="s">
        <v>1043</v>
      </c>
      <c r="F738" s="10">
        <v>4125.01</v>
      </c>
      <c r="G738">
        <f>Meter[[#This Row],[EstimatedLoss_RM]]/0.8</f>
        <v>5156.2624999999998</v>
      </c>
      <c r="H738" t="str" cm="1">
        <f t="array" ref="H738">_xlfn.IFS(C738&lt;=5, "0–5 years", C738&lt;=10, "6–10 years", C738&lt;=15, "11–15 years", C738&lt;=20, "16–20 years", TRUE, "21–25 years")</f>
        <v>21–25 years</v>
      </c>
    </row>
    <row r="739" spans="1:8" x14ac:dyDescent="0.3">
      <c r="A739" t="s">
        <v>1266</v>
      </c>
      <c r="B739" t="s">
        <v>41</v>
      </c>
      <c r="C739">
        <v>14</v>
      </c>
      <c r="D739" s="2">
        <v>89.17</v>
      </c>
      <c r="E739" t="s">
        <v>1043</v>
      </c>
      <c r="F739" s="11">
        <v>4131</v>
      </c>
      <c r="G739">
        <f>Meter[[#This Row],[EstimatedLoss_RM]]/0.8</f>
        <v>5163.75</v>
      </c>
      <c r="H739" t="str" cm="1">
        <f t="array" ref="H739">_xlfn.IFS(C739&lt;=5, "0–5 years", C739&lt;=10, "6–10 years", C739&lt;=15, "11–15 years", C739&lt;=20, "16–20 years", TRUE, "21–25 years")</f>
        <v>11–15 years</v>
      </c>
    </row>
    <row r="740" spans="1:8" x14ac:dyDescent="0.3">
      <c r="A740" t="s">
        <v>1528</v>
      </c>
      <c r="B740" t="s">
        <v>46</v>
      </c>
      <c r="C740">
        <v>15</v>
      </c>
      <c r="D740" s="9">
        <v>89.16</v>
      </c>
      <c r="E740" t="s">
        <v>1043</v>
      </c>
      <c r="F740" s="10">
        <v>4158.6400000000003</v>
      </c>
      <c r="G740">
        <f>Meter[[#This Row],[EstimatedLoss_RM]]/0.8</f>
        <v>5198.3</v>
      </c>
      <c r="H740" t="str" cm="1">
        <f t="array" ref="H740">_xlfn.IFS(C740&lt;=5, "0–5 years", C740&lt;=10, "6–10 years", C740&lt;=15, "11–15 years", C740&lt;=20, "16–20 years", TRUE, "21–25 years")</f>
        <v>11–15 years</v>
      </c>
    </row>
    <row r="741" spans="1:8" x14ac:dyDescent="0.3">
      <c r="A741" t="s">
        <v>1727</v>
      </c>
      <c r="B741" t="s">
        <v>53</v>
      </c>
      <c r="C741">
        <v>16</v>
      </c>
      <c r="D741" s="2">
        <v>89.16</v>
      </c>
      <c r="E741" t="s">
        <v>1045</v>
      </c>
      <c r="F741" s="11">
        <v>4150.18</v>
      </c>
      <c r="G741">
        <f>Meter[[#This Row],[EstimatedLoss_RM]]/0.8</f>
        <v>5187.7250000000004</v>
      </c>
      <c r="H741" t="str" cm="1">
        <f t="array" ref="H741">_xlfn.IFS(C741&lt;=5, "0–5 years", C741&lt;=10, "6–10 years", C741&lt;=15, "11–15 years", C741&lt;=20, "16–20 years", TRUE, "21–25 years")</f>
        <v>16–20 years</v>
      </c>
    </row>
    <row r="742" spans="1:8" x14ac:dyDescent="0.3">
      <c r="A742" t="s">
        <v>1206</v>
      </c>
      <c r="B742" t="s">
        <v>41</v>
      </c>
      <c r="C742">
        <v>18</v>
      </c>
      <c r="D742" s="9">
        <v>89.16</v>
      </c>
      <c r="E742" t="s">
        <v>1043</v>
      </c>
      <c r="F742" s="10">
        <v>4156.2700000000004</v>
      </c>
      <c r="G742">
        <f>Meter[[#This Row],[EstimatedLoss_RM]]/0.8</f>
        <v>5195.3375000000005</v>
      </c>
      <c r="H742" t="str" cm="1">
        <f t="array" ref="H742">_xlfn.IFS(C742&lt;=5, "0–5 years", C742&lt;=10, "6–10 years", C742&lt;=15, "11–15 years", C742&lt;=20, "16–20 years", TRUE, "21–25 years")</f>
        <v>16–20 years</v>
      </c>
    </row>
    <row r="743" spans="1:8" x14ac:dyDescent="0.3">
      <c r="A743" t="s">
        <v>1353</v>
      </c>
      <c r="B743" t="s">
        <v>47</v>
      </c>
      <c r="C743">
        <v>21</v>
      </c>
      <c r="D743" s="2">
        <v>89.16</v>
      </c>
      <c r="E743" t="s">
        <v>1045</v>
      </c>
      <c r="F743" s="11">
        <v>4150.4399999999996</v>
      </c>
      <c r="G743">
        <f>Meter[[#This Row],[EstimatedLoss_RM]]/0.8</f>
        <v>5188.0499999999993</v>
      </c>
      <c r="H743" t="str" cm="1">
        <f t="array" ref="H743">_xlfn.IFS(C743&lt;=5, "0–5 years", C743&lt;=10, "6–10 years", C743&lt;=15, "11–15 years", C743&lt;=20, "16–20 years", TRUE, "21–25 years")</f>
        <v>21–25 years</v>
      </c>
    </row>
    <row r="744" spans="1:8" x14ac:dyDescent="0.3">
      <c r="A744" t="s">
        <v>1676</v>
      </c>
      <c r="B744" t="s">
        <v>45</v>
      </c>
      <c r="C744">
        <v>20</v>
      </c>
      <c r="D744" s="9">
        <v>89.15</v>
      </c>
      <c r="E744" t="s">
        <v>1045</v>
      </c>
      <c r="F744" s="10">
        <v>4168.8599999999997</v>
      </c>
      <c r="G744">
        <f>Meter[[#This Row],[EstimatedLoss_RM]]/0.8</f>
        <v>5211.0749999999989</v>
      </c>
      <c r="H744" t="str" cm="1">
        <f t="array" ref="H744">_xlfn.IFS(C744&lt;=5, "0–5 years", C744&lt;=10, "6–10 years", C744&lt;=15, "11–15 years", C744&lt;=20, "16–20 years", TRUE, "21–25 years")</f>
        <v>16–20 years</v>
      </c>
    </row>
    <row r="745" spans="1:8" x14ac:dyDescent="0.3">
      <c r="A745" t="s">
        <v>1700</v>
      </c>
      <c r="B745" t="s">
        <v>41</v>
      </c>
      <c r="C745">
        <v>22</v>
      </c>
      <c r="D745" s="2">
        <v>89.15</v>
      </c>
      <c r="E745" t="s">
        <v>1043</v>
      </c>
      <c r="F745" s="11">
        <v>4164.6899999999996</v>
      </c>
      <c r="G745">
        <f>Meter[[#This Row],[EstimatedLoss_RM]]/0.8</f>
        <v>5205.8624999999993</v>
      </c>
      <c r="H745" t="str" cm="1">
        <f t="array" ref="H745">_xlfn.IFS(C745&lt;=5, "0–5 years", C745&lt;=10, "6–10 years", C745&lt;=15, "11–15 years", C745&lt;=20, "16–20 years", TRUE, "21–25 years")</f>
        <v>21–25 years</v>
      </c>
    </row>
    <row r="746" spans="1:8" x14ac:dyDescent="0.3">
      <c r="A746" t="s">
        <v>1150</v>
      </c>
      <c r="B746" t="s">
        <v>46</v>
      </c>
      <c r="C746">
        <v>23</v>
      </c>
      <c r="D746" s="9">
        <v>89.15</v>
      </c>
      <c r="E746" t="s">
        <v>1043</v>
      </c>
      <c r="F746" s="10">
        <v>4164.32</v>
      </c>
      <c r="G746">
        <f>Meter[[#This Row],[EstimatedLoss_RM]]/0.8</f>
        <v>5205.3999999999996</v>
      </c>
      <c r="H746" t="str" cm="1">
        <f t="array" ref="H746">_xlfn.IFS(C746&lt;=5, "0–5 years", C746&lt;=10, "6–10 years", C746&lt;=15, "11–15 years", C746&lt;=20, "16–20 years", TRUE, "21–25 years")</f>
        <v>21–25 years</v>
      </c>
    </row>
    <row r="747" spans="1:8" x14ac:dyDescent="0.3">
      <c r="A747" t="s">
        <v>1343</v>
      </c>
      <c r="B747" t="s">
        <v>39</v>
      </c>
      <c r="C747">
        <v>18</v>
      </c>
      <c r="D747" s="2">
        <v>89.14</v>
      </c>
      <c r="E747" t="s">
        <v>1041</v>
      </c>
      <c r="F747" s="11">
        <v>4171.78</v>
      </c>
      <c r="G747">
        <f>Meter[[#This Row],[EstimatedLoss_RM]]/0.8</f>
        <v>5214.7249999999995</v>
      </c>
      <c r="H747" t="str" cm="1">
        <f t="array" ref="H747">_xlfn.IFS(C747&lt;=5, "0–5 years", C747&lt;=10, "6–10 years", C747&lt;=15, "11–15 years", C747&lt;=20, "16–20 years", TRUE, "21–25 years")</f>
        <v>16–20 years</v>
      </c>
    </row>
    <row r="748" spans="1:8" x14ac:dyDescent="0.3">
      <c r="A748" t="s">
        <v>1762</v>
      </c>
      <c r="B748" t="s">
        <v>38</v>
      </c>
      <c r="C748">
        <v>22</v>
      </c>
      <c r="D748" s="9">
        <v>89.09</v>
      </c>
      <c r="E748" t="s">
        <v>1041</v>
      </c>
      <c r="F748" s="10">
        <v>4175.2299999999996</v>
      </c>
      <c r="G748">
        <f>Meter[[#This Row],[EstimatedLoss_RM]]/0.8</f>
        <v>5219.0374999999995</v>
      </c>
      <c r="H748" t="str" cm="1">
        <f t="array" ref="H748">_xlfn.IFS(C748&lt;=5, "0–5 years", C748&lt;=10, "6–10 years", C748&lt;=15, "11–15 years", C748&lt;=20, "16–20 years", TRUE, "21–25 years")</f>
        <v>21–25 years</v>
      </c>
    </row>
    <row r="749" spans="1:8" x14ac:dyDescent="0.3">
      <c r="A749" t="s">
        <v>1239</v>
      </c>
      <c r="B749" t="s">
        <v>49</v>
      </c>
      <c r="C749">
        <v>18</v>
      </c>
      <c r="D749" s="2">
        <v>89.03</v>
      </c>
      <c r="E749" t="s">
        <v>1045</v>
      </c>
      <c r="F749" s="11">
        <v>4191.95</v>
      </c>
      <c r="G749">
        <f>Meter[[#This Row],[EstimatedLoss_RM]]/0.8</f>
        <v>5239.9374999999991</v>
      </c>
      <c r="H749" t="str" cm="1">
        <f t="array" ref="H749">_xlfn.IFS(C749&lt;=5, "0–5 years", C749&lt;=10, "6–10 years", C749&lt;=15, "11–15 years", C749&lt;=20, "16–20 years", TRUE, "21–25 years")</f>
        <v>16–20 years</v>
      </c>
    </row>
    <row r="750" spans="1:8" x14ac:dyDescent="0.3">
      <c r="A750" t="s">
        <v>1759</v>
      </c>
      <c r="B750" t="s">
        <v>44</v>
      </c>
      <c r="C750">
        <v>23</v>
      </c>
      <c r="D750" s="9">
        <v>89.03</v>
      </c>
      <c r="E750" t="s">
        <v>1045</v>
      </c>
      <c r="F750" s="10">
        <v>4189.22</v>
      </c>
      <c r="G750">
        <f>Meter[[#This Row],[EstimatedLoss_RM]]/0.8</f>
        <v>5236.5249999999996</v>
      </c>
      <c r="H750" t="str" cm="1">
        <f t="array" ref="H750">_xlfn.IFS(C750&lt;=5, "0–5 years", C750&lt;=10, "6–10 years", C750&lt;=15, "11–15 years", C750&lt;=20, "16–20 years", TRUE, "21–25 years")</f>
        <v>21–25 years</v>
      </c>
    </row>
    <row r="751" spans="1:8" x14ac:dyDescent="0.3">
      <c r="A751" t="s">
        <v>1682</v>
      </c>
      <c r="B751" t="s">
        <v>47</v>
      </c>
      <c r="C751">
        <v>16</v>
      </c>
      <c r="D751" s="2">
        <v>89.01</v>
      </c>
      <c r="E751" t="s">
        <v>1045</v>
      </c>
      <c r="F751" s="11">
        <v>4195.03</v>
      </c>
      <c r="G751">
        <f>Meter[[#This Row],[EstimatedLoss_RM]]/0.8</f>
        <v>5243.7874999999995</v>
      </c>
      <c r="H751" t="str" cm="1">
        <f t="array" ref="H751">_xlfn.IFS(C751&lt;=5, "0–5 years", C751&lt;=10, "6–10 years", C751&lt;=15, "11–15 years", C751&lt;=20, "16–20 years", TRUE, "21–25 years")</f>
        <v>16–20 years</v>
      </c>
    </row>
    <row r="752" spans="1:8" x14ac:dyDescent="0.3">
      <c r="A752" t="s">
        <v>1808</v>
      </c>
      <c r="B752" t="s">
        <v>48</v>
      </c>
      <c r="C752">
        <v>19</v>
      </c>
      <c r="D752" s="9">
        <v>88.99</v>
      </c>
      <c r="E752" t="s">
        <v>1043</v>
      </c>
      <c r="F752" s="10">
        <v>4208.95</v>
      </c>
      <c r="G752">
        <f>Meter[[#This Row],[EstimatedLoss_RM]]/0.8</f>
        <v>5261.1874999999991</v>
      </c>
      <c r="H752" t="str" cm="1">
        <f t="array" ref="H752">_xlfn.IFS(C752&lt;=5, "0–5 years", C752&lt;=10, "6–10 years", C752&lt;=15, "11–15 years", C752&lt;=20, "16–20 years", TRUE, "21–25 years")</f>
        <v>16–20 years</v>
      </c>
    </row>
    <row r="753" spans="1:8" x14ac:dyDescent="0.3">
      <c r="A753" t="s">
        <v>1719</v>
      </c>
      <c r="B753" t="s">
        <v>49</v>
      </c>
      <c r="C753">
        <v>17</v>
      </c>
      <c r="D753" s="2">
        <v>88.98</v>
      </c>
      <c r="E753" t="s">
        <v>1043</v>
      </c>
      <c r="F753" s="11">
        <v>4210.6499999999996</v>
      </c>
      <c r="G753">
        <f>Meter[[#This Row],[EstimatedLoss_RM]]/0.8</f>
        <v>5263.3124999999991</v>
      </c>
      <c r="H753" t="str" cm="1">
        <f t="array" ref="H753">_xlfn.IFS(C753&lt;=5, "0–5 years", C753&lt;=10, "6–10 years", C753&lt;=15, "11–15 years", C753&lt;=20, "16–20 years", TRUE, "21–25 years")</f>
        <v>16–20 years</v>
      </c>
    </row>
    <row r="754" spans="1:8" x14ac:dyDescent="0.3">
      <c r="A754" t="s">
        <v>1726</v>
      </c>
      <c r="B754" t="s">
        <v>49</v>
      </c>
      <c r="C754">
        <v>25</v>
      </c>
      <c r="D754" s="9">
        <v>88.98</v>
      </c>
      <c r="E754" t="s">
        <v>1045</v>
      </c>
      <c r="F754" s="10">
        <v>4212.3999999999996</v>
      </c>
      <c r="G754">
        <f>Meter[[#This Row],[EstimatedLoss_RM]]/0.8</f>
        <v>5265.4999999999991</v>
      </c>
      <c r="H754" t="str" cm="1">
        <f t="array" ref="H754">_xlfn.IFS(C754&lt;=5, "0–5 years", C754&lt;=10, "6–10 years", C754&lt;=15, "11–15 years", C754&lt;=20, "16–20 years", TRUE, "21–25 years")</f>
        <v>21–25 years</v>
      </c>
    </row>
    <row r="755" spans="1:8" x14ac:dyDescent="0.3">
      <c r="A755" t="s">
        <v>1232</v>
      </c>
      <c r="B755" t="s">
        <v>40</v>
      </c>
      <c r="C755">
        <v>15</v>
      </c>
      <c r="D755" s="2">
        <v>88.97</v>
      </c>
      <c r="E755" t="s">
        <v>1045</v>
      </c>
      <c r="F755" s="11">
        <v>4234.09</v>
      </c>
      <c r="G755">
        <f>Meter[[#This Row],[EstimatedLoss_RM]]/0.8</f>
        <v>5292.6125000000002</v>
      </c>
      <c r="H755" t="str" cm="1">
        <f t="array" ref="H755">_xlfn.IFS(C755&lt;=5, "0–5 years", C755&lt;=10, "6–10 years", C755&lt;=15, "11–15 years", C755&lt;=20, "16–20 years", TRUE, "21–25 years")</f>
        <v>11–15 years</v>
      </c>
    </row>
    <row r="756" spans="1:8" x14ac:dyDescent="0.3">
      <c r="A756" t="s">
        <v>1844</v>
      </c>
      <c r="B756" t="s">
        <v>38</v>
      </c>
      <c r="C756">
        <v>20</v>
      </c>
      <c r="D756" s="9">
        <v>88.97</v>
      </c>
      <c r="E756" t="s">
        <v>1041</v>
      </c>
      <c r="F756" s="10">
        <v>4224.37</v>
      </c>
      <c r="G756">
        <f>Meter[[#This Row],[EstimatedLoss_RM]]/0.8</f>
        <v>5280.4624999999996</v>
      </c>
      <c r="H756" t="str" cm="1">
        <f t="array" ref="H756">_xlfn.IFS(C756&lt;=5, "0–5 years", C756&lt;=10, "6–10 years", C756&lt;=15, "11–15 years", C756&lt;=20, "16–20 years", TRUE, "21–25 years")</f>
        <v>16–20 years</v>
      </c>
    </row>
    <row r="757" spans="1:8" x14ac:dyDescent="0.3">
      <c r="A757" t="s">
        <v>1391</v>
      </c>
      <c r="B757" t="s">
        <v>39</v>
      </c>
      <c r="C757">
        <v>19</v>
      </c>
      <c r="D757" s="2">
        <v>88.96</v>
      </c>
      <c r="E757" t="s">
        <v>1041</v>
      </c>
      <c r="F757" s="11">
        <v>4241.8999999999996</v>
      </c>
      <c r="G757">
        <f>Meter[[#This Row],[EstimatedLoss_RM]]/0.8</f>
        <v>5302.3749999999991</v>
      </c>
      <c r="H757" t="str" cm="1">
        <f t="array" ref="H757">_xlfn.IFS(C757&lt;=5, "0–5 years", C757&lt;=10, "6–10 years", C757&lt;=15, "11–15 years", C757&lt;=20, "16–20 years", TRUE, "21–25 years")</f>
        <v>16–20 years</v>
      </c>
    </row>
    <row r="758" spans="1:8" x14ac:dyDescent="0.3">
      <c r="A758" t="s">
        <v>1088</v>
      </c>
      <c r="B758" t="s">
        <v>45</v>
      </c>
      <c r="C758">
        <v>19</v>
      </c>
      <c r="D758" s="9">
        <v>88.96</v>
      </c>
      <c r="E758" t="s">
        <v>1045</v>
      </c>
      <c r="F758" s="10">
        <v>4254.01</v>
      </c>
      <c r="G758">
        <f>Meter[[#This Row],[EstimatedLoss_RM]]/0.8</f>
        <v>5317.5124999999998</v>
      </c>
      <c r="H758" t="str" cm="1">
        <f t="array" ref="H758">_xlfn.IFS(C758&lt;=5, "0–5 years", C758&lt;=10, "6–10 years", C758&lt;=15, "11–15 years", C758&lt;=20, "16–20 years", TRUE, "21–25 years")</f>
        <v>16–20 years</v>
      </c>
    </row>
    <row r="759" spans="1:8" x14ac:dyDescent="0.3">
      <c r="A759" t="s">
        <v>1633</v>
      </c>
      <c r="B759" t="s">
        <v>53</v>
      </c>
      <c r="C759">
        <v>23</v>
      </c>
      <c r="D759" s="2">
        <v>88.94</v>
      </c>
      <c r="E759" t="s">
        <v>1045</v>
      </c>
      <c r="F759" s="11">
        <v>4258.49</v>
      </c>
      <c r="G759">
        <f>Meter[[#This Row],[EstimatedLoss_RM]]/0.8</f>
        <v>5323.1124999999993</v>
      </c>
      <c r="H759" t="str" cm="1">
        <f t="array" ref="H759">_xlfn.IFS(C759&lt;=5, "0–5 years", C759&lt;=10, "6–10 years", C759&lt;=15, "11–15 years", C759&lt;=20, "16–20 years", TRUE, "21–25 years")</f>
        <v>21–25 years</v>
      </c>
    </row>
    <row r="760" spans="1:8" x14ac:dyDescent="0.3">
      <c r="A760" t="s">
        <v>1683</v>
      </c>
      <c r="B760" t="s">
        <v>41</v>
      </c>
      <c r="C760">
        <v>21</v>
      </c>
      <c r="D760" s="9">
        <v>88.93</v>
      </c>
      <c r="E760" t="s">
        <v>1045</v>
      </c>
      <c r="F760" s="10">
        <v>4259.6099999999997</v>
      </c>
      <c r="G760">
        <f>Meter[[#This Row],[EstimatedLoss_RM]]/0.8</f>
        <v>5324.5124999999989</v>
      </c>
      <c r="H760" t="str" cm="1">
        <f t="array" ref="H760">_xlfn.IFS(C760&lt;=5, "0–5 years", C760&lt;=10, "6–10 years", C760&lt;=15, "11–15 years", C760&lt;=20, "16–20 years", TRUE, "21–25 years")</f>
        <v>21–25 years</v>
      </c>
    </row>
    <row r="761" spans="1:8" x14ac:dyDescent="0.3">
      <c r="A761" t="s">
        <v>1151</v>
      </c>
      <c r="B761" t="s">
        <v>40</v>
      </c>
      <c r="C761">
        <v>24</v>
      </c>
      <c r="D761" s="2">
        <v>88.92</v>
      </c>
      <c r="E761" t="s">
        <v>1043</v>
      </c>
      <c r="F761" s="11">
        <v>4265.79</v>
      </c>
      <c r="G761">
        <f>Meter[[#This Row],[EstimatedLoss_RM]]/0.8</f>
        <v>5332.2374999999993</v>
      </c>
      <c r="H761" t="str" cm="1">
        <f t="array" ref="H761">_xlfn.IFS(C761&lt;=5, "0–5 years", C761&lt;=10, "6–10 years", C761&lt;=15, "11–15 years", C761&lt;=20, "16–20 years", TRUE, "21–25 years")</f>
        <v>21–25 years</v>
      </c>
    </row>
    <row r="762" spans="1:8" x14ac:dyDescent="0.3">
      <c r="A762" t="s">
        <v>1715</v>
      </c>
      <c r="B762" t="s">
        <v>53</v>
      </c>
      <c r="C762">
        <v>21</v>
      </c>
      <c r="D762" s="9">
        <v>88.91</v>
      </c>
      <c r="E762" t="s">
        <v>1045</v>
      </c>
      <c r="F762" s="10">
        <v>4268.71</v>
      </c>
      <c r="G762">
        <f>Meter[[#This Row],[EstimatedLoss_RM]]/0.8</f>
        <v>5335.8874999999998</v>
      </c>
      <c r="H762" t="str" cm="1">
        <f t="array" ref="H762">_xlfn.IFS(C762&lt;=5, "0–5 years", C762&lt;=10, "6–10 years", C762&lt;=15, "11–15 years", C762&lt;=20, "16–20 years", TRUE, "21–25 years")</f>
        <v>21–25 years</v>
      </c>
    </row>
    <row r="763" spans="1:8" x14ac:dyDescent="0.3">
      <c r="A763" t="s">
        <v>1058</v>
      </c>
      <c r="B763" t="s">
        <v>42</v>
      </c>
      <c r="C763">
        <v>20</v>
      </c>
      <c r="D763" s="2">
        <v>88.88</v>
      </c>
      <c r="E763" t="s">
        <v>1041</v>
      </c>
      <c r="F763" s="11">
        <v>4275.3599999999997</v>
      </c>
      <c r="G763">
        <f>Meter[[#This Row],[EstimatedLoss_RM]]/0.8</f>
        <v>5344.1999999999989</v>
      </c>
      <c r="H763" t="str" cm="1">
        <f t="array" ref="H763">_xlfn.IFS(C763&lt;=5, "0–5 years", C763&lt;=10, "6–10 years", C763&lt;=15, "11–15 years", C763&lt;=20, "16–20 years", TRUE, "21–25 years")</f>
        <v>16–20 years</v>
      </c>
    </row>
    <row r="764" spans="1:8" x14ac:dyDescent="0.3">
      <c r="A764" t="s">
        <v>1939</v>
      </c>
      <c r="B764" t="s">
        <v>52</v>
      </c>
      <c r="C764">
        <v>22</v>
      </c>
      <c r="D764" s="9">
        <v>88.87</v>
      </c>
      <c r="E764" t="s">
        <v>1041</v>
      </c>
      <c r="F764" s="10">
        <v>4279.32</v>
      </c>
      <c r="G764">
        <f>Meter[[#This Row],[EstimatedLoss_RM]]/0.8</f>
        <v>5349.15</v>
      </c>
      <c r="H764" t="str" cm="1">
        <f t="array" ref="H764">_xlfn.IFS(C764&lt;=5, "0–5 years", C764&lt;=10, "6–10 years", C764&lt;=15, "11–15 years", C764&lt;=20, "16–20 years", TRUE, "21–25 years")</f>
        <v>21–25 years</v>
      </c>
    </row>
    <row r="765" spans="1:8" x14ac:dyDescent="0.3">
      <c r="A765" t="s">
        <v>1876</v>
      </c>
      <c r="B765" t="s">
        <v>52</v>
      </c>
      <c r="C765">
        <v>19</v>
      </c>
      <c r="D765" s="2">
        <v>88.86</v>
      </c>
      <c r="E765" t="s">
        <v>1041</v>
      </c>
      <c r="F765" s="11">
        <v>4285.6000000000004</v>
      </c>
      <c r="G765">
        <f>Meter[[#This Row],[EstimatedLoss_RM]]/0.8</f>
        <v>5357</v>
      </c>
      <c r="H765" t="str" cm="1">
        <f t="array" ref="H765">_xlfn.IFS(C765&lt;=5, "0–5 years", C765&lt;=10, "6–10 years", C765&lt;=15, "11–15 years", C765&lt;=20, "16–20 years", TRUE, "21–25 years")</f>
        <v>16–20 years</v>
      </c>
    </row>
    <row r="766" spans="1:8" x14ac:dyDescent="0.3">
      <c r="A766" t="s">
        <v>1388</v>
      </c>
      <c r="B766" t="s">
        <v>41</v>
      </c>
      <c r="C766">
        <v>24</v>
      </c>
      <c r="D766" s="9">
        <v>88.86</v>
      </c>
      <c r="E766" t="s">
        <v>1045</v>
      </c>
      <c r="F766" s="10">
        <v>4283.1099999999997</v>
      </c>
      <c r="G766">
        <f>Meter[[#This Row],[EstimatedLoss_RM]]/0.8</f>
        <v>5353.8874999999989</v>
      </c>
      <c r="H766" t="str" cm="1">
        <f t="array" ref="H766">_xlfn.IFS(C766&lt;=5, "0–5 years", C766&lt;=10, "6–10 years", C766&lt;=15, "11–15 years", C766&lt;=20, "16–20 years", TRUE, "21–25 years")</f>
        <v>21–25 years</v>
      </c>
    </row>
    <row r="767" spans="1:8" x14ac:dyDescent="0.3">
      <c r="A767" t="s">
        <v>1640</v>
      </c>
      <c r="B767" t="s">
        <v>53</v>
      </c>
      <c r="C767">
        <v>18</v>
      </c>
      <c r="D767" s="2">
        <v>88.84</v>
      </c>
      <c r="E767" t="s">
        <v>1045</v>
      </c>
      <c r="F767" s="11">
        <v>4302.67</v>
      </c>
      <c r="G767">
        <f>Meter[[#This Row],[EstimatedLoss_RM]]/0.8</f>
        <v>5378.3374999999996</v>
      </c>
      <c r="H767" t="str" cm="1">
        <f t="array" ref="H767">_xlfn.IFS(C767&lt;=5, "0–5 years", C767&lt;=10, "6–10 years", C767&lt;=15, "11–15 years", C767&lt;=20, "16–20 years", TRUE, "21–25 years")</f>
        <v>16–20 years</v>
      </c>
    </row>
    <row r="768" spans="1:8" x14ac:dyDescent="0.3">
      <c r="A768" t="s">
        <v>1495</v>
      </c>
      <c r="B768" t="s">
        <v>50</v>
      </c>
      <c r="C768">
        <v>18</v>
      </c>
      <c r="D768" s="9">
        <v>88.83</v>
      </c>
      <c r="E768" t="s">
        <v>1045</v>
      </c>
      <c r="F768" s="10">
        <v>4321.6400000000003</v>
      </c>
      <c r="G768">
        <f>Meter[[#This Row],[EstimatedLoss_RM]]/0.8</f>
        <v>5402.05</v>
      </c>
      <c r="H768" t="str" cm="1">
        <f t="array" ref="H768">_xlfn.IFS(C768&lt;=5, "0–5 years", C768&lt;=10, "6–10 years", C768&lt;=15, "11–15 years", C768&lt;=20, "16–20 years", TRUE, "21–25 years")</f>
        <v>16–20 years</v>
      </c>
    </row>
    <row r="769" spans="1:8" x14ac:dyDescent="0.3">
      <c r="A769" t="s">
        <v>1768</v>
      </c>
      <c r="B769" t="s">
        <v>48</v>
      </c>
      <c r="C769">
        <v>22</v>
      </c>
      <c r="D769" s="2">
        <v>88.83</v>
      </c>
      <c r="E769" t="s">
        <v>1045</v>
      </c>
      <c r="F769" s="11">
        <v>4303.5</v>
      </c>
      <c r="G769">
        <f>Meter[[#This Row],[EstimatedLoss_RM]]/0.8</f>
        <v>5379.375</v>
      </c>
      <c r="H769" t="str" cm="1">
        <f t="array" ref="H769">_xlfn.IFS(C769&lt;=5, "0–5 years", C769&lt;=10, "6–10 years", C769&lt;=15, "11–15 years", C769&lt;=20, "16–20 years", TRUE, "21–25 years")</f>
        <v>21–25 years</v>
      </c>
    </row>
    <row r="770" spans="1:8" x14ac:dyDescent="0.3">
      <c r="A770" t="s">
        <v>1834</v>
      </c>
      <c r="B770" t="s">
        <v>43</v>
      </c>
      <c r="C770">
        <v>24</v>
      </c>
      <c r="D770" s="9">
        <v>88.82</v>
      </c>
      <c r="E770" t="s">
        <v>1041</v>
      </c>
      <c r="F770" s="10">
        <v>4328.6899999999996</v>
      </c>
      <c r="G770">
        <f>Meter[[#This Row],[EstimatedLoss_RM]]/0.8</f>
        <v>5410.8624999999993</v>
      </c>
      <c r="H770" t="str" cm="1">
        <f t="array" ref="H770">_xlfn.IFS(C770&lt;=5, "0–5 years", C770&lt;=10, "6–10 years", C770&lt;=15, "11–15 years", C770&lt;=20, "16–20 years", TRUE, "21–25 years")</f>
        <v>21–25 years</v>
      </c>
    </row>
    <row r="771" spans="1:8" x14ac:dyDescent="0.3">
      <c r="A771" t="s">
        <v>1914</v>
      </c>
      <c r="B771" t="s">
        <v>43</v>
      </c>
      <c r="C771">
        <v>19</v>
      </c>
      <c r="D771" s="2">
        <v>88.8</v>
      </c>
      <c r="E771" t="s">
        <v>1045</v>
      </c>
      <c r="F771" s="11">
        <v>4332.7</v>
      </c>
      <c r="G771">
        <f>Meter[[#This Row],[EstimatedLoss_RM]]/0.8</f>
        <v>5415.8749999999991</v>
      </c>
      <c r="H771" t="str" cm="1">
        <f t="array" ref="H771">_xlfn.IFS(C771&lt;=5, "0–5 years", C771&lt;=10, "6–10 years", C771&lt;=15, "11–15 years", C771&lt;=20, "16–20 years", TRUE, "21–25 years")</f>
        <v>16–20 years</v>
      </c>
    </row>
    <row r="772" spans="1:8" x14ac:dyDescent="0.3">
      <c r="A772" t="s">
        <v>1123</v>
      </c>
      <c r="B772" t="s">
        <v>39</v>
      </c>
      <c r="C772">
        <v>22</v>
      </c>
      <c r="D772" s="9">
        <v>88.76</v>
      </c>
      <c r="E772" t="s">
        <v>1045</v>
      </c>
      <c r="F772" s="10">
        <v>4339.29</v>
      </c>
      <c r="G772">
        <f>Meter[[#This Row],[EstimatedLoss_RM]]/0.8</f>
        <v>5424.1124999999993</v>
      </c>
      <c r="H772" t="str" cm="1">
        <f t="array" ref="H772">_xlfn.IFS(C772&lt;=5, "0–5 years", C772&lt;=10, "6–10 years", C772&lt;=15, "11–15 years", C772&lt;=20, "16–20 years", TRUE, "21–25 years")</f>
        <v>21–25 years</v>
      </c>
    </row>
    <row r="773" spans="1:8" x14ac:dyDescent="0.3">
      <c r="A773" t="s">
        <v>1642</v>
      </c>
      <c r="B773" t="s">
        <v>39</v>
      </c>
      <c r="C773">
        <v>25</v>
      </c>
      <c r="D773" s="2">
        <v>88.75</v>
      </c>
      <c r="E773" t="s">
        <v>1043</v>
      </c>
      <c r="F773" s="11">
        <v>4343.74</v>
      </c>
      <c r="G773">
        <f>Meter[[#This Row],[EstimatedLoss_RM]]/0.8</f>
        <v>5429.6749999999993</v>
      </c>
      <c r="H773" t="str" cm="1">
        <f t="array" ref="H773">_xlfn.IFS(C773&lt;=5, "0–5 years", C773&lt;=10, "6–10 years", C773&lt;=15, "11–15 years", C773&lt;=20, "16–20 years", TRUE, "21–25 years")</f>
        <v>21–25 years</v>
      </c>
    </row>
    <row r="774" spans="1:8" x14ac:dyDescent="0.3">
      <c r="A774" t="s">
        <v>1895</v>
      </c>
      <c r="B774" t="s">
        <v>39</v>
      </c>
      <c r="C774">
        <v>20</v>
      </c>
      <c r="D774" s="9">
        <v>88.73</v>
      </c>
      <c r="E774" t="s">
        <v>1041</v>
      </c>
      <c r="F774" s="10">
        <v>4349.95</v>
      </c>
      <c r="G774">
        <f>Meter[[#This Row],[EstimatedLoss_RM]]/0.8</f>
        <v>5437.4374999999991</v>
      </c>
      <c r="H774" t="str" cm="1">
        <f t="array" ref="H774">_xlfn.IFS(C774&lt;=5, "0–5 years", C774&lt;=10, "6–10 years", C774&lt;=15, "11–15 years", C774&lt;=20, "16–20 years", TRUE, "21–25 years")</f>
        <v>16–20 years</v>
      </c>
    </row>
    <row r="775" spans="1:8" x14ac:dyDescent="0.3">
      <c r="A775" t="s">
        <v>1740</v>
      </c>
      <c r="B775" t="s">
        <v>45</v>
      </c>
      <c r="C775">
        <v>17</v>
      </c>
      <c r="D775" s="2">
        <v>88.7</v>
      </c>
      <c r="E775" t="s">
        <v>1043</v>
      </c>
      <c r="F775" s="11">
        <v>4367.37</v>
      </c>
      <c r="G775">
        <f>Meter[[#This Row],[EstimatedLoss_RM]]/0.8</f>
        <v>5459.2124999999996</v>
      </c>
      <c r="H775" t="str" cm="1">
        <f t="array" ref="H775">_xlfn.IFS(C775&lt;=5, "0–5 years", C775&lt;=10, "6–10 years", C775&lt;=15, "11–15 years", C775&lt;=20, "16–20 years", TRUE, "21–25 years")</f>
        <v>16–20 years</v>
      </c>
    </row>
    <row r="776" spans="1:8" x14ac:dyDescent="0.3">
      <c r="A776" t="s">
        <v>1276</v>
      </c>
      <c r="B776" t="s">
        <v>46</v>
      </c>
      <c r="C776">
        <v>20</v>
      </c>
      <c r="D776" s="9">
        <v>88.7</v>
      </c>
      <c r="E776" t="s">
        <v>1041</v>
      </c>
      <c r="F776" s="10">
        <v>4350.6499999999996</v>
      </c>
      <c r="G776">
        <f>Meter[[#This Row],[EstimatedLoss_RM]]/0.8</f>
        <v>5438.3124999999991</v>
      </c>
      <c r="H776" t="str" cm="1">
        <f t="array" ref="H776">_xlfn.IFS(C776&lt;=5, "0–5 years", C776&lt;=10, "6–10 years", C776&lt;=15, "11–15 years", C776&lt;=20, "16–20 years", TRUE, "21–25 years")</f>
        <v>16–20 years</v>
      </c>
    </row>
    <row r="777" spans="1:8" x14ac:dyDescent="0.3">
      <c r="A777" t="s">
        <v>1760</v>
      </c>
      <c r="B777" t="s">
        <v>39</v>
      </c>
      <c r="C777">
        <v>24</v>
      </c>
      <c r="D777" s="2">
        <v>88.7</v>
      </c>
      <c r="E777" t="s">
        <v>1045</v>
      </c>
      <c r="F777" s="11">
        <v>4352.4399999999996</v>
      </c>
      <c r="G777">
        <f>Meter[[#This Row],[EstimatedLoss_RM]]/0.8</f>
        <v>5440.5499999999993</v>
      </c>
      <c r="H777" t="str" cm="1">
        <f t="array" ref="H777">_xlfn.IFS(C777&lt;=5, "0–5 years", C777&lt;=10, "6–10 years", C777&lt;=15, "11–15 years", C777&lt;=20, "16–20 years", TRUE, "21–25 years")</f>
        <v>21–25 years</v>
      </c>
    </row>
    <row r="778" spans="1:8" x14ac:dyDescent="0.3">
      <c r="A778" t="s">
        <v>1290</v>
      </c>
      <c r="B778" t="s">
        <v>53</v>
      </c>
      <c r="C778">
        <v>20</v>
      </c>
      <c r="D778" s="9">
        <v>88.69</v>
      </c>
      <c r="E778" t="s">
        <v>1041</v>
      </c>
      <c r="F778" s="10">
        <v>4368.5200000000004</v>
      </c>
      <c r="G778">
        <f>Meter[[#This Row],[EstimatedLoss_RM]]/0.8</f>
        <v>5460.6500000000005</v>
      </c>
      <c r="H778" t="str" cm="1">
        <f t="array" ref="H778">_xlfn.IFS(C778&lt;=5, "0–5 years", C778&lt;=10, "6–10 years", C778&lt;=15, "11–15 years", C778&lt;=20, "16–20 years", TRUE, "21–25 years")</f>
        <v>16–20 years</v>
      </c>
    </row>
    <row r="779" spans="1:8" x14ac:dyDescent="0.3">
      <c r="A779" t="s">
        <v>1685</v>
      </c>
      <c r="B779" t="s">
        <v>49</v>
      </c>
      <c r="C779">
        <v>22</v>
      </c>
      <c r="D779" s="2">
        <v>88.68</v>
      </c>
      <c r="E779" t="s">
        <v>1041</v>
      </c>
      <c r="F779" s="11">
        <v>4380.24</v>
      </c>
      <c r="G779">
        <f>Meter[[#This Row],[EstimatedLoss_RM]]/0.8</f>
        <v>5475.2999999999993</v>
      </c>
      <c r="H779" t="str" cm="1">
        <f t="array" ref="H779">_xlfn.IFS(C779&lt;=5, "0–5 years", C779&lt;=10, "6–10 years", C779&lt;=15, "11–15 years", C779&lt;=20, "16–20 years", TRUE, "21–25 years")</f>
        <v>21–25 years</v>
      </c>
    </row>
    <row r="780" spans="1:8" x14ac:dyDescent="0.3">
      <c r="A780" t="s">
        <v>1587</v>
      </c>
      <c r="B780" t="s">
        <v>45</v>
      </c>
      <c r="C780">
        <v>11</v>
      </c>
      <c r="D780" s="9">
        <v>88.66</v>
      </c>
      <c r="E780" t="s">
        <v>1043</v>
      </c>
      <c r="F780" s="10">
        <v>4385.59</v>
      </c>
      <c r="G780">
        <f>Meter[[#This Row],[EstimatedLoss_RM]]/0.8</f>
        <v>5481.9875000000002</v>
      </c>
      <c r="H780" t="str" cm="1">
        <f t="array" ref="H780">_xlfn.IFS(C780&lt;=5, "0–5 years", C780&lt;=10, "6–10 years", C780&lt;=15, "11–15 years", C780&lt;=20, "16–20 years", TRUE, "21–25 years")</f>
        <v>11–15 years</v>
      </c>
    </row>
    <row r="781" spans="1:8" x14ac:dyDescent="0.3">
      <c r="A781" t="s">
        <v>1837</v>
      </c>
      <c r="B781" t="s">
        <v>42</v>
      </c>
      <c r="C781">
        <v>18</v>
      </c>
      <c r="D781" s="2">
        <v>88.64</v>
      </c>
      <c r="E781" t="s">
        <v>1045</v>
      </c>
      <c r="F781" s="11">
        <v>4391.04</v>
      </c>
      <c r="G781">
        <f>Meter[[#This Row],[EstimatedLoss_RM]]/0.8</f>
        <v>5488.7999999999993</v>
      </c>
      <c r="H781" t="str" cm="1">
        <f t="array" ref="H781">_xlfn.IFS(C781&lt;=5, "0–5 years", C781&lt;=10, "6–10 years", C781&lt;=15, "11–15 years", C781&lt;=20, "16–20 years", TRUE, "21–25 years")</f>
        <v>16–20 years</v>
      </c>
    </row>
    <row r="782" spans="1:8" x14ac:dyDescent="0.3">
      <c r="A782" t="s">
        <v>1804</v>
      </c>
      <c r="B782" t="s">
        <v>41</v>
      </c>
      <c r="C782">
        <v>24</v>
      </c>
      <c r="D782" s="9">
        <v>88.64</v>
      </c>
      <c r="E782" t="s">
        <v>1045</v>
      </c>
      <c r="F782" s="10">
        <v>4393.25</v>
      </c>
      <c r="G782">
        <f>Meter[[#This Row],[EstimatedLoss_RM]]/0.8</f>
        <v>5491.5625</v>
      </c>
      <c r="H782" t="str" cm="1">
        <f t="array" ref="H782">_xlfn.IFS(C782&lt;=5, "0–5 years", C782&lt;=10, "6–10 years", C782&lt;=15, "11–15 years", C782&lt;=20, "16–20 years", TRUE, "21–25 years")</f>
        <v>21–25 years</v>
      </c>
    </row>
    <row r="783" spans="1:8" x14ac:dyDescent="0.3">
      <c r="A783" t="s">
        <v>1323</v>
      </c>
      <c r="B783" t="s">
        <v>40</v>
      </c>
      <c r="C783">
        <v>24</v>
      </c>
      <c r="D783" s="2">
        <v>88.63</v>
      </c>
      <c r="E783" t="s">
        <v>1041</v>
      </c>
      <c r="F783" s="11">
        <v>4407.7299999999996</v>
      </c>
      <c r="G783">
        <f>Meter[[#This Row],[EstimatedLoss_RM]]/0.8</f>
        <v>5509.6624999999995</v>
      </c>
      <c r="H783" t="str" cm="1">
        <f t="array" ref="H783">_xlfn.IFS(C783&lt;=5, "0–5 years", C783&lt;=10, "6–10 years", C783&lt;=15, "11–15 years", C783&lt;=20, "16–20 years", TRUE, "21–25 years")</f>
        <v>21–25 years</v>
      </c>
    </row>
    <row r="784" spans="1:8" x14ac:dyDescent="0.3">
      <c r="A784" t="s">
        <v>1068</v>
      </c>
      <c r="B784" t="s">
        <v>41</v>
      </c>
      <c r="C784">
        <v>24</v>
      </c>
      <c r="D784" s="9">
        <v>88.62</v>
      </c>
      <c r="E784" t="s">
        <v>1041</v>
      </c>
      <c r="F784" s="10">
        <v>4412.58</v>
      </c>
      <c r="G784">
        <f>Meter[[#This Row],[EstimatedLoss_RM]]/0.8</f>
        <v>5515.7249999999995</v>
      </c>
      <c r="H784" t="str" cm="1">
        <f t="array" ref="H784">_xlfn.IFS(C784&lt;=5, "0–5 years", C784&lt;=10, "6–10 years", C784&lt;=15, "11–15 years", C784&lt;=20, "16–20 years", TRUE, "21–25 years")</f>
        <v>21–25 years</v>
      </c>
    </row>
    <row r="785" spans="1:8" x14ac:dyDescent="0.3">
      <c r="A785" t="s">
        <v>1659</v>
      </c>
      <c r="B785" t="s">
        <v>49</v>
      </c>
      <c r="C785">
        <v>24</v>
      </c>
      <c r="D785" s="2">
        <v>88.62</v>
      </c>
      <c r="E785" t="s">
        <v>1045</v>
      </c>
      <c r="F785" s="11">
        <v>4412.7</v>
      </c>
      <c r="G785">
        <f>Meter[[#This Row],[EstimatedLoss_RM]]/0.8</f>
        <v>5515.8749999999991</v>
      </c>
      <c r="H785" t="str" cm="1">
        <f t="array" ref="H785">_xlfn.IFS(C785&lt;=5, "0–5 years", C785&lt;=10, "6–10 years", C785&lt;=15, "11–15 years", C785&lt;=20, "16–20 years", TRUE, "21–25 years")</f>
        <v>21–25 years</v>
      </c>
    </row>
    <row r="786" spans="1:8" x14ac:dyDescent="0.3">
      <c r="A786" t="s">
        <v>1689</v>
      </c>
      <c r="B786" t="s">
        <v>45</v>
      </c>
      <c r="C786">
        <v>10</v>
      </c>
      <c r="D786" s="9">
        <v>88.61</v>
      </c>
      <c r="E786" t="s">
        <v>1043</v>
      </c>
      <c r="F786" s="10">
        <v>4413.71</v>
      </c>
      <c r="G786">
        <f>Meter[[#This Row],[EstimatedLoss_RM]]/0.8</f>
        <v>5517.1374999999998</v>
      </c>
      <c r="H786" t="str" cm="1">
        <f t="array" ref="H786">_xlfn.IFS(C786&lt;=5, "0–5 years", C786&lt;=10, "6–10 years", C786&lt;=15, "11–15 years", C786&lt;=20, "16–20 years", TRUE, "21–25 years")</f>
        <v>6–10 years</v>
      </c>
    </row>
    <row r="787" spans="1:8" x14ac:dyDescent="0.3">
      <c r="A787" t="s">
        <v>1334</v>
      </c>
      <c r="B787" t="s">
        <v>40</v>
      </c>
      <c r="C787">
        <v>21</v>
      </c>
      <c r="D787" s="2">
        <v>88.61</v>
      </c>
      <c r="E787" t="s">
        <v>1043</v>
      </c>
      <c r="F787" s="11">
        <v>4414.99</v>
      </c>
      <c r="G787">
        <f>Meter[[#This Row],[EstimatedLoss_RM]]/0.8</f>
        <v>5518.7374999999993</v>
      </c>
      <c r="H787" t="str" cm="1">
        <f t="array" ref="H787">_xlfn.IFS(C787&lt;=5, "0–5 years", C787&lt;=10, "6–10 years", C787&lt;=15, "11–15 years", C787&lt;=20, "16–20 years", TRUE, "21–25 years")</f>
        <v>21–25 years</v>
      </c>
    </row>
    <row r="788" spans="1:8" x14ac:dyDescent="0.3">
      <c r="A788" t="s">
        <v>1171</v>
      </c>
      <c r="B788" t="s">
        <v>42</v>
      </c>
      <c r="C788">
        <v>24</v>
      </c>
      <c r="D788" s="9">
        <v>88.6</v>
      </c>
      <c r="E788" t="s">
        <v>1041</v>
      </c>
      <c r="F788" s="10">
        <v>4418.29</v>
      </c>
      <c r="G788">
        <f>Meter[[#This Row],[EstimatedLoss_RM]]/0.8</f>
        <v>5522.8624999999993</v>
      </c>
      <c r="H788" t="str" cm="1">
        <f t="array" ref="H788">_xlfn.IFS(C788&lt;=5, "0–5 years", C788&lt;=10, "6–10 years", C788&lt;=15, "11–15 years", C788&lt;=20, "16–20 years", TRUE, "21–25 years")</f>
        <v>21–25 years</v>
      </c>
    </row>
    <row r="789" spans="1:8" x14ac:dyDescent="0.3">
      <c r="A789" t="s">
        <v>1061</v>
      </c>
      <c r="B789" t="s">
        <v>44</v>
      </c>
      <c r="C789">
        <v>19</v>
      </c>
      <c r="D789" s="2">
        <v>88.58</v>
      </c>
      <c r="E789" t="s">
        <v>1045</v>
      </c>
      <c r="F789" s="11">
        <v>4425.1499999999996</v>
      </c>
      <c r="G789">
        <f>Meter[[#This Row],[EstimatedLoss_RM]]/0.8</f>
        <v>5531.4374999999991</v>
      </c>
      <c r="H789" t="str" cm="1">
        <f t="array" ref="H789">_xlfn.IFS(C789&lt;=5, "0–5 years", C789&lt;=10, "6–10 years", C789&lt;=15, "11–15 years", C789&lt;=20, "16–20 years", TRUE, "21–25 years")</f>
        <v>16–20 years</v>
      </c>
    </row>
    <row r="790" spans="1:8" x14ac:dyDescent="0.3">
      <c r="A790" t="s">
        <v>1707</v>
      </c>
      <c r="B790" t="s">
        <v>40</v>
      </c>
      <c r="C790">
        <v>20</v>
      </c>
      <c r="D790" s="9">
        <v>88.57</v>
      </c>
      <c r="E790" t="s">
        <v>1043</v>
      </c>
      <c r="F790" s="10">
        <v>4430.25</v>
      </c>
      <c r="G790">
        <f>Meter[[#This Row],[EstimatedLoss_RM]]/0.8</f>
        <v>5537.8125</v>
      </c>
      <c r="H790" t="str" cm="1">
        <f t="array" ref="H790">_xlfn.IFS(C790&lt;=5, "0–5 years", C790&lt;=10, "6–10 years", C790&lt;=15, "11–15 years", C790&lt;=20, "16–20 years", TRUE, "21–25 years")</f>
        <v>16–20 years</v>
      </c>
    </row>
    <row r="791" spans="1:8" x14ac:dyDescent="0.3">
      <c r="A791" t="s">
        <v>1793</v>
      </c>
      <c r="B791" t="s">
        <v>48</v>
      </c>
      <c r="C791">
        <v>19</v>
      </c>
      <c r="D791" s="2">
        <v>88.55</v>
      </c>
      <c r="E791" t="s">
        <v>1045</v>
      </c>
      <c r="F791" s="11">
        <v>4431.79</v>
      </c>
      <c r="G791">
        <f>Meter[[#This Row],[EstimatedLoss_RM]]/0.8</f>
        <v>5539.7374999999993</v>
      </c>
      <c r="H791" t="str" cm="1">
        <f t="array" ref="H791">_xlfn.IFS(C791&lt;=5, "0–5 years", C791&lt;=10, "6–10 years", C791&lt;=15, "11–15 years", C791&lt;=20, "16–20 years", TRUE, "21–25 years")</f>
        <v>16–20 years</v>
      </c>
    </row>
    <row r="792" spans="1:8" x14ac:dyDescent="0.3">
      <c r="A792" t="s">
        <v>1916</v>
      </c>
      <c r="B792" t="s">
        <v>50</v>
      </c>
      <c r="C792">
        <v>20</v>
      </c>
      <c r="D792" s="9">
        <v>88.54</v>
      </c>
      <c r="E792" t="s">
        <v>1043</v>
      </c>
      <c r="F792" s="10">
        <v>4438.25</v>
      </c>
      <c r="G792">
        <f>Meter[[#This Row],[EstimatedLoss_RM]]/0.8</f>
        <v>5547.8125</v>
      </c>
      <c r="H792" t="str" cm="1">
        <f t="array" ref="H792">_xlfn.IFS(C792&lt;=5, "0–5 years", C792&lt;=10, "6–10 years", C792&lt;=15, "11–15 years", C792&lt;=20, "16–20 years", TRUE, "21–25 years")</f>
        <v>16–20 years</v>
      </c>
    </row>
    <row r="793" spans="1:8" x14ac:dyDescent="0.3">
      <c r="A793" t="s">
        <v>1612</v>
      </c>
      <c r="B793" t="s">
        <v>50</v>
      </c>
      <c r="C793">
        <v>22</v>
      </c>
      <c r="D793" s="2">
        <v>88.5</v>
      </c>
      <c r="E793" t="s">
        <v>1043</v>
      </c>
      <c r="F793" s="11">
        <v>4441.63</v>
      </c>
      <c r="G793">
        <f>Meter[[#This Row],[EstimatedLoss_RM]]/0.8</f>
        <v>5552.0374999999995</v>
      </c>
      <c r="H793" t="str" cm="1">
        <f t="array" ref="H793">_xlfn.IFS(C793&lt;=5, "0–5 years", C793&lt;=10, "6–10 years", C793&lt;=15, "11–15 years", C793&lt;=20, "16–20 years", TRUE, "21–25 years")</f>
        <v>21–25 years</v>
      </c>
    </row>
    <row r="794" spans="1:8" x14ac:dyDescent="0.3">
      <c r="A794" t="s">
        <v>1527</v>
      </c>
      <c r="B794" t="s">
        <v>46</v>
      </c>
      <c r="C794">
        <v>20</v>
      </c>
      <c r="D794" s="9">
        <v>88.49</v>
      </c>
      <c r="E794" t="s">
        <v>1043</v>
      </c>
      <c r="F794" s="10">
        <v>4443.25</v>
      </c>
      <c r="G794">
        <f>Meter[[#This Row],[EstimatedLoss_RM]]/0.8</f>
        <v>5554.0625</v>
      </c>
      <c r="H794" t="str" cm="1">
        <f t="array" ref="H794">_xlfn.IFS(C794&lt;=5, "0–5 years", C794&lt;=10, "6–10 years", C794&lt;=15, "11–15 years", C794&lt;=20, "16–20 years", TRUE, "21–25 years")</f>
        <v>16–20 years</v>
      </c>
    </row>
    <row r="795" spans="1:8" x14ac:dyDescent="0.3">
      <c r="A795" t="s">
        <v>1761</v>
      </c>
      <c r="B795" t="s">
        <v>50</v>
      </c>
      <c r="C795">
        <v>22</v>
      </c>
      <c r="D795" s="2">
        <v>88.47</v>
      </c>
      <c r="E795" t="s">
        <v>1045</v>
      </c>
      <c r="F795" s="11">
        <v>4450.74</v>
      </c>
      <c r="G795">
        <f>Meter[[#This Row],[EstimatedLoss_RM]]/0.8</f>
        <v>5563.4249999999993</v>
      </c>
      <c r="H795" t="str" cm="1">
        <f t="array" ref="H795">_xlfn.IFS(C795&lt;=5, "0–5 years", C795&lt;=10, "6–10 years", C795&lt;=15, "11–15 years", C795&lt;=20, "16–20 years", TRUE, "21–25 years")</f>
        <v>21–25 years</v>
      </c>
    </row>
    <row r="796" spans="1:8" x14ac:dyDescent="0.3">
      <c r="A796" t="s">
        <v>1866</v>
      </c>
      <c r="B796" t="s">
        <v>40</v>
      </c>
      <c r="C796">
        <v>22</v>
      </c>
      <c r="D796" s="9">
        <v>88.47</v>
      </c>
      <c r="E796" t="s">
        <v>1041</v>
      </c>
      <c r="F796" s="10">
        <v>4455.37</v>
      </c>
      <c r="G796">
        <f>Meter[[#This Row],[EstimatedLoss_RM]]/0.8</f>
        <v>5569.2124999999996</v>
      </c>
      <c r="H796" t="str" cm="1">
        <f t="array" ref="H796">_xlfn.IFS(C796&lt;=5, "0–5 years", C796&lt;=10, "6–10 years", C796&lt;=15, "11–15 years", C796&lt;=20, "16–20 years", TRUE, "21–25 years")</f>
        <v>21–25 years</v>
      </c>
    </row>
    <row r="797" spans="1:8" x14ac:dyDescent="0.3">
      <c r="A797" t="s">
        <v>1203</v>
      </c>
      <c r="B797" t="s">
        <v>48</v>
      </c>
      <c r="C797">
        <v>19</v>
      </c>
      <c r="D797" s="2">
        <v>88.45</v>
      </c>
      <c r="E797" t="s">
        <v>1043</v>
      </c>
      <c r="F797" s="11">
        <v>4462.8100000000004</v>
      </c>
      <c r="G797">
        <f>Meter[[#This Row],[EstimatedLoss_RM]]/0.8</f>
        <v>5578.5124999999998</v>
      </c>
      <c r="H797" t="str" cm="1">
        <f t="array" ref="H797">_xlfn.IFS(C797&lt;=5, "0–5 years", C797&lt;=10, "6–10 years", C797&lt;=15, "11–15 years", C797&lt;=20, "16–20 years", TRUE, "21–25 years")</f>
        <v>16–20 years</v>
      </c>
    </row>
    <row r="798" spans="1:8" x14ac:dyDescent="0.3">
      <c r="A798" t="s">
        <v>1413</v>
      </c>
      <c r="B798" t="s">
        <v>42</v>
      </c>
      <c r="C798">
        <v>24</v>
      </c>
      <c r="D798" s="9">
        <v>88.45</v>
      </c>
      <c r="E798" t="s">
        <v>1041</v>
      </c>
      <c r="F798" s="10">
        <v>4466.28</v>
      </c>
      <c r="G798">
        <f>Meter[[#This Row],[EstimatedLoss_RM]]/0.8</f>
        <v>5582.8499999999995</v>
      </c>
      <c r="H798" t="str" cm="1">
        <f t="array" ref="H798">_xlfn.IFS(C798&lt;=5, "0–5 years", C798&lt;=10, "6–10 years", C798&lt;=15, "11–15 years", C798&lt;=20, "16–20 years", TRUE, "21–25 years")</f>
        <v>21–25 years</v>
      </c>
    </row>
    <row r="799" spans="1:8" x14ac:dyDescent="0.3">
      <c r="A799" t="s">
        <v>1094</v>
      </c>
      <c r="B799" t="s">
        <v>38</v>
      </c>
      <c r="C799">
        <v>22</v>
      </c>
      <c r="D799" s="2">
        <v>88.43</v>
      </c>
      <c r="E799" t="s">
        <v>1043</v>
      </c>
      <c r="F799" s="11">
        <v>4466.58</v>
      </c>
      <c r="G799">
        <f>Meter[[#This Row],[EstimatedLoss_RM]]/0.8</f>
        <v>5583.2249999999995</v>
      </c>
      <c r="H799" t="str" cm="1">
        <f t="array" ref="H799">_xlfn.IFS(C799&lt;=5, "0–5 years", C799&lt;=10, "6–10 years", C799&lt;=15, "11–15 years", C799&lt;=20, "16–20 years", TRUE, "21–25 years")</f>
        <v>21–25 years</v>
      </c>
    </row>
    <row r="800" spans="1:8" x14ac:dyDescent="0.3">
      <c r="A800" t="s">
        <v>1853</v>
      </c>
      <c r="B800" t="s">
        <v>38</v>
      </c>
      <c r="C800">
        <v>23</v>
      </c>
      <c r="D800" s="9">
        <v>88.43</v>
      </c>
      <c r="E800" t="s">
        <v>1041</v>
      </c>
      <c r="F800" s="10">
        <v>4482.84</v>
      </c>
      <c r="G800">
        <f>Meter[[#This Row],[EstimatedLoss_RM]]/0.8</f>
        <v>5603.55</v>
      </c>
      <c r="H800" t="str" cm="1">
        <f t="array" ref="H800">_xlfn.IFS(C800&lt;=5, "0–5 years", C800&lt;=10, "6–10 years", C800&lt;=15, "11–15 years", C800&lt;=20, "16–20 years", TRUE, "21–25 years")</f>
        <v>21–25 years</v>
      </c>
    </row>
    <row r="801" spans="1:8" x14ac:dyDescent="0.3">
      <c r="A801" t="s">
        <v>1408</v>
      </c>
      <c r="B801" t="s">
        <v>44</v>
      </c>
      <c r="C801">
        <v>22</v>
      </c>
      <c r="D801" s="2">
        <v>88.4</v>
      </c>
      <c r="E801" t="s">
        <v>1043</v>
      </c>
      <c r="F801" s="11">
        <v>4486.96</v>
      </c>
      <c r="G801">
        <f>Meter[[#This Row],[EstimatedLoss_RM]]/0.8</f>
        <v>5608.7</v>
      </c>
      <c r="H801" t="str" cm="1">
        <f t="array" ref="H801">_xlfn.IFS(C801&lt;=5, "0–5 years", C801&lt;=10, "6–10 years", C801&lt;=15, "11–15 years", C801&lt;=20, "16–20 years", TRUE, "21–25 years")</f>
        <v>21–25 years</v>
      </c>
    </row>
    <row r="802" spans="1:8" x14ac:dyDescent="0.3">
      <c r="A802" t="s">
        <v>1717</v>
      </c>
      <c r="B802" t="s">
        <v>41</v>
      </c>
      <c r="C802">
        <v>17</v>
      </c>
      <c r="D802" s="9">
        <v>88.38</v>
      </c>
      <c r="E802" t="s">
        <v>1041</v>
      </c>
      <c r="F802" s="10">
        <v>4487.22</v>
      </c>
      <c r="G802">
        <f>Meter[[#This Row],[EstimatedLoss_RM]]/0.8</f>
        <v>5609.0249999999996</v>
      </c>
      <c r="H802" t="str" cm="1">
        <f t="array" ref="H802">_xlfn.IFS(C802&lt;=5, "0–5 years", C802&lt;=10, "6–10 years", C802&lt;=15, "11–15 years", C802&lt;=20, "16–20 years", TRUE, "21–25 years")</f>
        <v>16–20 years</v>
      </c>
    </row>
    <row r="803" spans="1:8" x14ac:dyDescent="0.3">
      <c r="A803" t="s">
        <v>1186</v>
      </c>
      <c r="B803" t="s">
        <v>46</v>
      </c>
      <c r="C803">
        <v>25</v>
      </c>
      <c r="D803" s="2">
        <v>88.37</v>
      </c>
      <c r="E803" t="s">
        <v>1041</v>
      </c>
      <c r="F803" s="11">
        <v>4487.28</v>
      </c>
      <c r="G803">
        <f>Meter[[#This Row],[EstimatedLoss_RM]]/0.8</f>
        <v>5609.0999999999995</v>
      </c>
      <c r="H803" t="str" cm="1">
        <f t="array" ref="H803">_xlfn.IFS(C803&lt;=5, "0–5 years", C803&lt;=10, "6–10 years", C803&lt;=15, "11–15 years", C803&lt;=20, "16–20 years", TRUE, "21–25 years")</f>
        <v>21–25 years</v>
      </c>
    </row>
    <row r="804" spans="1:8" x14ac:dyDescent="0.3">
      <c r="A804" t="s">
        <v>1332</v>
      </c>
      <c r="B804" t="s">
        <v>49</v>
      </c>
      <c r="C804">
        <v>21</v>
      </c>
      <c r="D804" s="9">
        <v>88.35</v>
      </c>
      <c r="E804" t="s">
        <v>1043</v>
      </c>
      <c r="F804" s="10">
        <v>4487.34</v>
      </c>
      <c r="G804">
        <f>Meter[[#This Row],[EstimatedLoss_RM]]/0.8</f>
        <v>5609.1750000000002</v>
      </c>
      <c r="H804" t="str" cm="1">
        <f t="array" ref="H804">_xlfn.IFS(C804&lt;=5, "0–5 years", C804&lt;=10, "6–10 years", C804&lt;=15, "11–15 years", C804&lt;=20, "16–20 years", TRUE, "21–25 years")</f>
        <v>21–25 years</v>
      </c>
    </row>
    <row r="805" spans="1:8" x14ac:dyDescent="0.3">
      <c r="A805" t="s">
        <v>1691</v>
      </c>
      <c r="B805" t="s">
        <v>46</v>
      </c>
      <c r="C805">
        <v>23</v>
      </c>
      <c r="D805" s="2">
        <v>88.34</v>
      </c>
      <c r="E805" t="s">
        <v>1043</v>
      </c>
      <c r="F805" s="11">
        <v>4488.26</v>
      </c>
      <c r="G805">
        <f>Meter[[#This Row],[EstimatedLoss_RM]]/0.8</f>
        <v>5610.3249999999998</v>
      </c>
      <c r="H805" t="str" cm="1">
        <f t="array" ref="H805">_xlfn.IFS(C805&lt;=5, "0–5 years", C805&lt;=10, "6–10 years", C805&lt;=15, "11–15 years", C805&lt;=20, "16–20 years", TRUE, "21–25 years")</f>
        <v>21–25 years</v>
      </c>
    </row>
    <row r="806" spans="1:8" x14ac:dyDescent="0.3">
      <c r="A806" t="s">
        <v>1484</v>
      </c>
      <c r="B806" t="s">
        <v>41</v>
      </c>
      <c r="C806">
        <v>24</v>
      </c>
      <c r="D806" s="9">
        <v>88.33</v>
      </c>
      <c r="E806" t="s">
        <v>1043</v>
      </c>
      <c r="F806" s="10">
        <v>4489.72</v>
      </c>
      <c r="G806">
        <f>Meter[[#This Row],[EstimatedLoss_RM]]/0.8</f>
        <v>5612.15</v>
      </c>
      <c r="H806" t="str" cm="1">
        <f t="array" ref="H806">_xlfn.IFS(C806&lt;=5, "0–5 years", C806&lt;=10, "6–10 years", C806&lt;=15, "11–15 years", C806&lt;=20, "16–20 years", TRUE, "21–25 years")</f>
        <v>21–25 years</v>
      </c>
    </row>
    <row r="807" spans="1:8" x14ac:dyDescent="0.3">
      <c r="A807" t="s">
        <v>1839</v>
      </c>
      <c r="B807" t="s">
        <v>38</v>
      </c>
      <c r="C807">
        <v>24</v>
      </c>
      <c r="D807" s="2">
        <v>88.32</v>
      </c>
      <c r="E807" t="s">
        <v>1045</v>
      </c>
      <c r="F807" s="11">
        <v>4495.2299999999996</v>
      </c>
      <c r="G807">
        <f>Meter[[#This Row],[EstimatedLoss_RM]]/0.8</f>
        <v>5619.0374999999995</v>
      </c>
      <c r="H807" t="str" cm="1">
        <f t="array" ref="H807">_xlfn.IFS(C807&lt;=5, "0–5 years", C807&lt;=10, "6–10 years", C807&lt;=15, "11–15 years", C807&lt;=20, "16–20 years", TRUE, "21–25 years")</f>
        <v>21–25 years</v>
      </c>
    </row>
    <row r="808" spans="1:8" x14ac:dyDescent="0.3">
      <c r="A808" t="s">
        <v>1547</v>
      </c>
      <c r="B808" t="s">
        <v>39</v>
      </c>
      <c r="C808">
        <v>21</v>
      </c>
      <c r="D808" s="9">
        <v>88.3</v>
      </c>
      <c r="E808" t="s">
        <v>1045</v>
      </c>
      <c r="F808" s="10">
        <v>4496.7299999999996</v>
      </c>
      <c r="G808">
        <f>Meter[[#This Row],[EstimatedLoss_RM]]/0.8</f>
        <v>5620.9124999999995</v>
      </c>
      <c r="H808" t="str" cm="1">
        <f t="array" ref="H808">_xlfn.IFS(C808&lt;=5, "0–5 years", C808&lt;=10, "6–10 years", C808&lt;=15, "11–15 years", C808&lt;=20, "16–20 years", TRUE, "21–25 years")</f>
        <v>21–25 years</v>
      </c>
    </row>
    <row r="809" spans="1:8" x14ac:dyDescent="0.3">
      <c r="A809" t="s">
        <v>1051</v>
      </c>
      <c r="B809" t="s">
        <v>50</v>
      </c>
      <c r="C809">
        <v>22</v>
      </c>
      <c r="D809" s="2">
        <v>88.26</v>
      </c>
      <c r="E809" t="s">
        <v>1041</v>
      </c>
      <c r="F809" s="11">
        <v>4505.51</v>
      </c>
      <c r="G809">
        <f>Meter[[#This Row],[EstimatedLoss_RM]]/0.8</f>
        <v>5631.8874999999998</v>
      </c>
      <c r="H809" t="str" cm="1">
        <f t="array" ref="H809">_xlfn.IFS(C809&lt;=5, "0–5 years", C809&lt;=10, "6–10 years", C809&lt;=15, "11–15 years", C809&lt;=20, "16–20 years", TRUE, "21–25 years")</f>
        <v>21–25 years</v>
      </c>
    </row>
    <row r="810" spans="1:8" x14ac:dyDescent="0.3">
      <c r="A810" t="s">
        <v>1374</v>
      </c>
      <c r="B810" t="s">
        <v>39</v>
      </c>
      <c r="C810">
        <v>20</v>
      </c>
      <c r="D810" s="9">
        <v>88.21</v>
      </c>
      <c r="E810" t="s">
        <v>1041</v>
      </c>
      <c r="F810" s="10">
        <v>4506.3500000000004</v>
      </c>
      <c r="G810">
        <f>Meter[[#This Row],[EstimatedLoss_RM]]/0.8</f>
        <v>5632.9375</v>
      </c>
      <c r="H810" t="str" cm="1">
        <f t="array" ref="H810">_xlfn.IFS(C810&lt;=5, "0–5 years", C810&lt;=10, "6–10 years", C810&lt;=15, "11–15 years", C810&lt;=20, "16–20 years", TRUE, "21–25 years")</f>
        <v>16–20 years</v>
      </c>
    </row>
    <row r="811" spans="1:8" x14ac:dyDescent="0.3">
      <c r="A811" t="s">
        <v>1499</v>
      </c>
      <c r="B811" t="s">
        <v>40</v>
      </c>
      <c r="C811">
        <v>24</v>
      </c>
      <c r="D811" s="2">
        <v>88.19</v>
      </c>
      <c r="E811" t="s">
        <v>1045</v>
      </c>
      <c r="F811" s="11">
        <v>4506.57</v>
      </c>
      <c r="G811">
        <f>Meter[[#This Row],[EstimatedLoss_RM]]/0.8</f>
        <v>5633.2124999999996</v>
      </c>
      <c r="H811" t="str" cm="1">
        <f t="array" ref="H811">_xlfn.IFS(C811&lt;=5, "0–5 years", C811&lt;=10, "6–10 years", C811&lt;=15, "11–15 years", C811&lt;=20, "16–20 years", TRUE, "21–25 years")</f>
        <v>21–25 years</v>
      </c>
    </row>
    <row r="812" spans="1:8" x14ac:dyDescent="0.3">
      <c r="A812" t="s">
        <v>1638</v>
      </c>
      <c r="B812" t="s">
        <v>45</v>
      </c>
      <c r="C812">
        <v>22</v>
      </c>
      <c r="D812" s="9">
        <v>88.18</v>
      </c>
      <c r="E812" t="s">
        <v>1043</v>
      </c>
      <c r="F812" s="10">
        <v>4506.7700000000004</v>
      </c>
      <c r="G812">
        <f>Meter[[#This Row],[EstimatedLoss_RM]]/0.8</f>
        <v>5633.4625000000005</v>
      </c>
      <c r="H812" t="str" cm="1">
        <f t="array" ref="H812">_xlfn.IFS(C812&lt;=5, "0–5 years", C812&lt;=10, "6–10 years", C812&lt;=15, "11–15 years", C812&lt;=20, "16–20 years", TRUE, "21–25 years")</f>
        <v>21–25 years</v>
      </c>
    </row>
    <row r="813" spans="1:8" x14ac:dyDescent="0.3">
      <c r="A813" t="s">
        <v>1360</v>
      </c>
      <c r="B813" t="s">
        <v>47</v>
      </c>
      <c r="C813">
        <v>23</v>
      </c>
      <c r="D813" s="2">
        <v>88.18</v>
      </c>
      <c r="E813" t="s">
        <v>1045</v>
      </c>
      <c r="F813" s="11">
        <v>4506.84</v>
      </c>
      <c r="G813">
        <f>Meter[[#This Row],[EstimatedLoss_RM]]/0.8</f>
        <v>5633.55</v>
      </c>
      <c r="H813" t="str" cm="1">
        <f t="array" ref="H813">_xlfn.IFS(C813&lt;=5, "0–5 years", C813&lt;=10, "6–10 years", C813&lt;=15, "11–15 years", C813&lt;=20, "16–20 years", TRUE, "21–25 years")</f>
        <v>21–25 years</v>
      </c>
    </row>
    <row r="814" spans="1:8" x14ac:dyDescent="0.3">
      <c r="A814" t="s">
        <v>1702</v>
      </c>
      <c r="B814" t="s">
        <v>53</v>
      </c>
      <c r="C814">
        <v>24</v>
      </c>
      <c r="D814" s="9">
        <v>88.11</v>
      </c>
      <c r="E814" t="s">
        <v>1043</v>
      </c>
      <c r="F814" s="10">
        <v>4515.67</v>
      </c>
      <c r="G814">
        <f>Meter[[#This Row],[EstimatedLoss_RM]]/0.8</f>
        <v>5644.5874999999996</v>
      </c>
      <c r="H814" t="str" cm="1">
        <f t="array" ref="H814">_xlfn.IFS(C814&lt;=5, "0–5 years", C814&lt;=10, "6–10 years", C814&lt;=15, "11–15 years", C814&lt;=20, "16–20 years", TRUE, "21–25 years")</f>
        <v>21–25 years</v>
      </c>
    </row>
    <row r="815" spans="1:8" x14ac:dyDescent="0.3">
      <c r="A815" t="s">
        <v>1898</v>
      </c>
      <c r="B815" t="s">
        <v>38</v>
      </c>
      <c r="C815">
        <v>22</v>
      </c>
      <c r="D815" s="2">
        <v>88.06</v>
      </c>
      <c r="E815" t="s">
        <v>1045</v>
      </c>
      <c r="F815" s="11">
        <v>4516.4399999999996</v>
      </c>
      <c r="G815">
        <f>Meter[[#This Row],[EstimatedLoss_RM]]/0.8</f>
        <v>5645.5499999999993</v>
      </c>
      <c r="H815" t="str" cm="1">
        <f t="array" ref="H815">_xlfn.IFS(C815&lt;=5, "0–5 years", C815&lt;=10, "6–10 years", C815&lt;=15, "11–15 years", C815&lt;=20, "16–20 years", TRUE, "21–25 years")</f>
        <v>21–25 years</v>
      </c>
    </row>
    <row r="816" spans="1:8" x14ac:dyDescent="0.3">
      <c r="A816" t="s">
        <v>1104</v>
      </c>
      <c r="B816" t="s">
        <v>53</v>
      </c>
      <c r="C816">
        <v>24</v>
      </c>
      <c r="D816" s="9">
        <v>88.03</v>
      </c>
      <c r="E816" t="s">
        <v>1045</v>
      </c>
      <c r="F816" s="10">
        <v>4525.17</v>
      </c>
      <c r="G816">
        <f>Meter[[#This Row],[EstimatedLoss_RM]]/0.8</f>
        <v>5656.4624999999996</v>
      </c>
      <c r="H816" t="str" cm="1">
        <f t="array" ref="H816">_xlfn.IFS(C816&lt;=5, "0–5 years", C816&lt;=10, "6–10 years", C816&lt;=15, "11–15 years", C816&lt;=20, "16–20 years", TRUE, "21–25 years")</f>
        <v>21–25 years</v>
      </c>
    </row>
    <row r="817" spans="1:8" x14ac:dyDescent="0.3">
      <c r="A817" t="s">
        <v>1410</v>
      </c>
      <c r="B817" t="s">
        <v>47</v>
      </c>
      <c r="C817">
        <v>25</v>
      </c>
      <c r="D817" s="2">
        <v>88.03</v>
      </c>
      <c r="E817" t="s">
        <v>1043</v>
      </c>
      <c r="F817" s="11">
        <v>4525.96</v>
      </c>
      <c r="G817">
        <f>Meter[[#This Row],[EstimatedLoss_RM]]/0.8</f>
        <v>5657.45</v>
      </c>
      <c r="H817" t="str" cm="1">
        <f t="array" ref="H817">_xlfn.IFS(C817&lt;=5, "0–5 years", C817&lt;=10, "6–10 years", C817&lt;=15, "11–15 years", C817&lt;=20, "16–20 years", TRUE, "21–25 years")</f>
        <v>21–25 years</v>
      </c>
    </row>
    <row r="818" spans="1:8" x14ac:dyDescent="0.3">
      <c r="A818" t="s">
        <v>1166</v>
      </c>
      <c r="B818" t="s">
        <v>46</v>
      </c>
      <c r="C818">
        <v>18</v>
      </c>
      <c r="D818" s="9">
        <v>88</v>
      </c>
      <c r="E818" t="s">
        <v>1043</v>
      </c>
      <c r="F818" s="10">
        <v>4527.53</v>
      </c>
      <c r="G818">
        <f>Meter[[#This Row],[EstimatedLoss_RM]]/0.8</f>
        <v>5659.4124999999995</v>
      </c>
      <c r="H818" t="str" cm="1">
        <f t="array" ref="H818">_xlfn.IFS(C818&lt;=5, "0–5 years", C818&lt;=10, "6–10 years", C818&lt;=15, "11–15 years", C818&lt;=20, "16–20 years", TRUE, "21–25 years")</f>
        <v>16–20 years</v>
      </c>
    </row>
    <row r="819" spans="1:8" x14ac:dyDescent="0.3">
      <c r="A819" t="s">
        <v>1185</v>
      </c>
      <c r="B819" t="s">
        <v>50</v>
      </c>
      <c r="C819">
        <v>17</v>
      </c>
      <c r="D819" s="2">
        <v>87.99</v>
      </c>
      <c r="E819" t="s">
        <v>1043</v>
      </c>
      <c r="F819" s="11">
        <v>4547.57</v>
      </c>
      <c r="G819">
        <f>Meter[[#This Row],[EstimatedLoss_RM]]/0.8</f>
        <v>5684.4624999999996</v>
      </c>
      <c r="H819" t="str" cm="1">
        <f t="array" ref="H819">_xlfn.IFS(C819&lt;=5, "0–5 years", C819&lt;=10, "6–10 years", C819&lt;=15, "11–15 years", C819&lt;=20, "16–20 years", TRUE, "21–25 years")</f>
        <v>16–20 years</v>
      </c>
    </row>
    <row r="820" spans="1:8" x14ac:dyDescent="0.3">
      <c r="A820" t="s">
        <v>1367</v>
      </c>
      <c r="B820" t="s">
        <v>41</v>
      </c>
      <c r="C820">
        <v>20</v>
      </c>
      <c r="D820" s="9">
        <v>87.99</v>
      </c>
      <c r="E820" t="s">
        <v>1043</v>
      </c>
      <c r="F820" s="10">
        <v>4545.08</v>
      </c>
      <c r="G820">
        <f>Meter[[#This Row],[EstimatedLoss_RM]]/0.8</f>
        <v>5681.3499999999995</v>
      </c>
      <c r="H820" t="str" cm="1">
        <f t="array" ref="H820">_xlfn.IFS(C820&lt;=5, "0–5 years", C820&lt;=10, "6–10 years", C820&lt;=15, "11–15 years", C820&lt;=20, "16–20 years", TRUE, "21–25 years")</f>
        <v>16–20 years</v>
      </c>
    </row>
    <row r="821" spans="1:8" x14ac:dyDescent="0.3">
      <c r="A821" t="s">
        <v>1942</v>
      </c>
      <c r="B821" t="s">
        <v>53</v>
      </c>
      <c r="C821">
        <v>21</v>
      </c>
      <c r="D821" s="2">
        <v>87.97</v>
      </c>
      <c r="E821" t="s">
        <v>1045</v>
      </c>
      <c r="F821" s="11">
        <v>4555.49</v>
      </c>
      <c r="G821">
        <f>Meter[[#This Row],[EstimatedLoss_RM]]/0.8</f>
        <v>5694.3624999999993</v>
      </c>
      <c r="H821" t="str" cm="1">
        <f t="array" ref="H821">_xlfn.IFS(C821&lt;=5, "0–5 years", C821&lt;=10, "6–10 years", C821&lt;=15, "11–15 years", C821&lt;=20, "16–20 years", TRUE, "21–25 years")</f>
        <v>21–25 years</v>
      </c>
    </row>
    <row r="822" spans="1:8" x14ac:dyDescent="0.3">
      <c r="A822" t="s">
        <v>1399</v>
      </c>
      <c r="B822" t="s">
        <v>43</v>
      </c>
      <c r="C822">
        <v>25</v>
      </c>
      <c r="D822" s="9">
        <v>87.96</v>
      </c>
      <c r="E822" t="s">
        <v>1045</v>
      </c>
      <c r="F822" s="10">
        <v>4587.17</v>
      </c>
      <c r="G822">
        <f>Meter[[#This Row],[EstimatedLoss_RM]]/0.8</f>
        <v>5733.9624999999996</v>
      </c>
      <c r="H822" t="str" cm="1">
        <f t="array" ref="H822">_xlfn.IFS(C822&lt;=5, "0–5 years", C822&lt;=10, "6–10 years", C822&lt;=15, "11–15 years", C822&lt;=20, "16–20 years", TRUE, "21–25 years")</f>
        <v>21–25 years</v>
      </c>
    </row>
    <row r="823" spans="1:8" x14ac:dyDescent="0.3">
      <c r="A823" t="s">
        <v>1326</v>
      </c>
      <c r="B823" t="s">
        <v>43</v>
      </c>
      <c r="C823">
        <v>19</v>
      </c>
      <c r="D823" s="2">
        <v>87.92</v>
      </c>
      <c r="E823" t="s">
        <v>1041</v>
      </c>
      <c r="F823" s="11">
        <v>4591.84</v>
      </c>
      <c r="G823">
        <f>Meter[[#This Row],[EstimatedLoss_RM]]/0.8</f>
        <v>5739.8</v>
      </c>
      <c r="H823" t="str" cm="1">
        <f t="array" ref="H823">_xlfn.IFS(C823&lt;=5, "0–5 years", C823&lt;=10, "6–10 years", C823&lt;=15, "11–15 years", C823&lt;=20, "16–20 years", TRUE, "21–25 years")</f>
        <v>16–20 years</v>
      </c>
    </row>
    <row r="824" spans="1:8" x14ac:dyDescent="0.3">
      <c r="A824" t="s">
        <v>1099</v>
      </c>
      <c r="B824" t="s">
        <v>45</v>
      </c>
      <c r="C824">
        <v>21</v>
      </c>
      <c r="D824" s="9">
        <v>87.92</v>
      </c>
      <c r="E824" t="s">
        <v>1041</v>
      </c>
      <c r="F824" s="10">
        <v>4590.32</v>
      </c>
      <c r="G824">
        <f>Meter[[#This Row],[EstimatedLoss_RM]]/0.8</f>
        <v>5737.9</v>
      </c>
      <c r="H824" t="str" cm="1">
        <f t="array" ref="H824">_xlfn.IFS(C824&lt;=5, "0–5 years", C824&lt;=10, "6–10 years", C824&lt;=15, "11–15 years", C824&lt;=20, "16–20 years", TRUE, "21–25 years")</f>
        <v>21–25 years</v>
      </c>
    </row>
    <row r="825" spans="1:8" x14ac:dyDescent="0.3">
      <c r="A825" t="s">
        <v>1211</v>
      </c>
      <c r="B825" t="s">
        <v>49</v>
      </c>
      <c r="C825">
        <v>24</v>
      </c>
      <c r="D825" s="2">
        <v>87.91</v>
      </c>
      <c r="E825" t="s">
        <v>1043</v>
      </c>
      <c r="F825" s="11">
        <v>4592.38</v>
      </c>
      <c r="G825">
        <f>Meter[[#This Row],[EstimatedLoss_RM]]/0.8</f>
        <v>5740.4749999999995</v>
      </c>
      <c r="H825" t="str" cm="1">
        <f t="array" ref="H825">_xlfn.IFS(C825&lt;=5, "0–5 years", C825&lt;=10, "6–10 years", C825&lt;=15, "11–15 years", C825&lt;=20, "16–20 years", TRUE, "21–25 years")</f>
        <v>21–25 years</v>
      </c>
    </row>
    <row r="826" spans="1:8" x14ac:dyDescent="0.3">
      <c r="A826" t="s">
        <v>1639</v>
      </c>
      <c r="B826" t="s">
        <v>46</v>
      </c>
      <c r="C826">
        <v>24</v>
      </c>
      <c r="D826" s="9">
        <v>87.86</v>
      </c>
      <c r="E826" t="s">
        <v>1043</v>
      </c>
      <c r="F826" s="10">
        <v>4613.5</v>
      </c>
      <c r="G826">
        <f>Meter[[#This Row],[EstimatedLoss_RM]]/0.8</f>
        <v>5766.875</v>
      </c>
      <c r="H826" t="str" cm="1">
        <f t="array" ref="H826">_xlfn.IFS(C826&lt;=5, "0–5 years", C826&lt;=10, "6–10 years", C826&lt;=15, "11–15 years", C826&lt;=20, "16–20 years", TRUE, "21–25 years")</f>
        <v>21–25 years</v>
      </c>
    </row>
    <row r="827" spans="1:8" x14ac:dyDescent="0.3">
      <c r="A827" t="s">
        <v>1109</v>
      </c>
      <c r="B827" t="s">
        <v>40</v>
      </c>
      <c r="C827">
        <v>25</v>
      </c>
      <c r="D827" s="2">
        <v>87.86</v>
      </c>
      <c r="E827" t="s">
        <v>1041</v>
      </c>
      <c r="F827" s="11">
        <v>4613.79</v>
      </c>
      <c r="G827">
        <f>Meter[[#This Row],[EstimatedLoss_RM]]/0.8</f>
        <v>5767.2374999999993</v>
      </c>
      <c r="H827" t="str" cm="1">
        <f t="array" ref="H827">_xlfn.IFS(C827&lt;=5, "0–5 years", C827&lt;=10, "6–10 years", C827&lt;=15, "11–15 years", C827&lt;=20, "16–20 years", TRUE, "21–25 years")</f>
        <v>21–25 years</v>
      </c>
    </row>
    <row r="828" spans="1:8" x14ac:dyDescent="0.3">
      <c r="A828" t="s">
        <v>1087</v>
      </c>
      <c r="B828" t="s">
        <v>53</v>
      </c>
      <c r="C828">
        <v>18</v>
      </c>
      <c r="D828" s="9">
        <v>87.84</v>
      </c>
      <c r="E828" t="s">
        <v>1041</v>
      </c>
      <c r="F828" s="10">
        <v>4616.22</v>
      </c>
      <c r="G828">
        <f>Meter[[#This Row],[EstimatedLoss_RM]]/0.8</f>
        <v>5770.2749999999996</v>
      </c>
      <c r="H828" t="str" cm="1">
        <f t="array" ref="H828">_xlfn.IFS(C828&lt;=5, "0–5 years", C828&lt;=10, "6–10 years", C828&lt;=15, "11–15 years", C828&lt;=20, "16–20 years", TRUE, "21–25 years")</f>
        <v>16–20 years</v>
      </c>
    </row>
    <row r="829" spans="1:8" x14ac:dyDescent="0.3">
      <c r="A829" t="s">
        <v>1749</v>
      </c>
      <c r="B829" t="s">
        <v>48</v>
      </c>
      <c r="C829">
        <v>19</v>
      </c>
      <c r="D829" s="2">
        <v>87.84</v>
      </c>
      <c r="E829" t="s">
        <v>1041</v>
      </c>
      <c r="F829" s="11">
        <v>4619.62</v>
      </c>
      <c r="G829">
        <f>Meter[[#This Row],[EstimatedLoss_RM]]/0.8</f>
        <v>5774.5249999999996</v>
      </c>
      <c r="H829" t="str" cm="1">
        <f t="array" ref="H829">_xlfn.IFS(C829&lt;=5, "0–5 years", C829&lt;=10, "6–10 years", C829&lt;=15, "11–15 years", C829&lt;=20, "16–20 years", TRUE, "21–25 years")</f>
        <v>16–20 years</v>
      </c>
    </row>
    <row r="830" spans="1:8" x14ac:dyDescent="0.3">
      <c r="A830" t="s">
        <v>1668</v>
      </c>
      <c r="B830" t="s">
        <v>40</v>
      </c>
      <c r="C830">
        <v>23</v>
      </c>
      <c r="D830" s="9">
        <v>87.78</v>
      </c>
      <c r="E830" t="s">
        <v>1043</v>
      </c>
      <c r="F830" s="10">
        <v>4620.7</v>
      </c>
      <c r="G830">
        <f>Meter[[#This Row],[EstimatedLoss_RM]]/0.8</f>
        <v>5775.8749999999991</v>
      </c>
      <c r="H830" t="str" cm="1">
        <f t="array" ref="H830">_xlfn.IFS(C830&lt;=5, "0–5 years", C830&lt;=10, "6–10 years", C830&lt;=15, "11–15 years", C830&lt;=20, "16–20 years", TRUE, "21–25 years")</f>
        <v>21–25 years</v>
      </c>
    </row>
    <row r="831" spans="1:8" x14ac:dyDescent="0.3">
      <c r="A831" t="s">
        <v>1190</v>
      </c>
      <c r="B831" t="s">
        <v>41</v>
      </c>
      <c r="C831">
        <v>19</v>
      </c>
      <c r="D831" s="2">
        <v>87.76</v>
      </c>
      <c r="E831" t="s">
        <v>1041</v>
      </c>
      <c r="F831" s="11">
        <v>4636.24</v>
      </c>
      <c r="G831">
        <f>Meter[[#This Row],[EstimatedLoss_RM]]/0.8</f>
        <v>5795.2999999999993</v>
      </c>
      <c r="H831" t="str" cm="1">
        <f t="array" ref="H831">_xlfn.IFS(C831&lt;=5, "0–5 years", C831&lt;=10, "6–10 years", C831&lt;=15, "11–15 years", C831&lt;=20, "16–20 years", TRUE, "21–25 years")</f>
        <v>16–20 years</v>
      </c>
    </row>
    <row r="832" spans="1:8" x14ac:dyDescent="0.3">
      <c r="A832" t="s">
        <v>1273</v>
      </c>
      <c r="B832" t="s">
        <v>52</v>
      </c>
      <c r="C832">
        <v>22</v>
      </c>
      <c r="D832" s="9">
        <v>87.74</v>
      </c>
      <c r="E832" t="s">
        <v>1043</v>
      </c>
      <c r="F832" s="10">
        <v>4636.26</v>
      </c>
      <c r="G832">
        <f>Meter[[#This Row],[EstimatedLoss_RM]]/0.8</f>
        <v>5795.3249999999998</v>
      </c>
      <c r="H832" t="str" cm="1">
        <f t="array" ref="H832">_xlfn.IFS(C832&lt;=5, "0–5 years", C832&lt;=10, "6–10 years", C832&lt;=15, "11–15 years", C832&lt;=20, "16–20 years", TRUE, "21–25 years")</f>
        <v>21–25 years</v>
      </c>
    </row>
    <row r="833" spans="1:8" x14ac:dyDescent="0.3">
      <c r="A833" t="s">
        <v>1497</v>
      </c>
      <c r="B833" t="s">
        <v>52</v>
      </c>
      <c r="C833">
        <v>23</v>
      </c>
      <c r="D833" s="2">
        <v>87.74</v>
      </c>
      <c r="E833" t="s">
        <v>1043</v>
      </c>
      <c r="F833" s="11">
        <v>4636.5600000000004</v>
      </c>
      <c r="G833">
        <f>Meter[[#This Row],[EstimatedLoss_RM]]/0.8</f>
        <v>5795.7</v>
      </c>
      <c r="H833" t="str" cm="1">
        <f t="array" ref="H833">_xlfn.IFS(C833&lt;=5, "0–5 years", C833&lt;=10, "6–10 years", C833&lt;=15, "11–15 years", C833&lt;=20, "16–20 years", TRUE, "21–25 years")</f>
        <v>21–25 years</v>
      </c>
    </row>
    <row r="834" spans="1:8" x14ac:dyDescent="0.3">
      <c r="A834" t="s">
        <v>1794</v>
      </c>
      <c r="B834" t="s">
        <v>42</v>
      </c>
      <c r="C834">
        <v>19</v>
      </c>
      <c r="D834" s="9">
        <v>87.7</v>
      </c>
      <c r="E834" t="s">
        <v>1041</v>
      </c>
      <c r="F834" s="10">
        <v>4640.74</v>
      </c>
      <c r="G834">
        <f>Meter[[#This Row],[EstimatedLoss_RM]]/0.8</f>
        <v>5800.9249999999993</v>
      </c>
      <c r="H834" t="str" cm="1">
        <f t="array" ref="H834">_xlfn.IFS(C834&lt;=5, "0–5 years", C834&lt;=10, "6–10 years", C834&lt;=15, "11–15 years", C834&lt;=20, "16–20 years", TRUE, "21–25 years")</f>
        <v>16–20 years</v>
      </c>
    </row>
    <row r="835" spans="1:8" x14ac:dyDescent="0.3">
      <c r="A835" t="s">
        <v>1427</v>
      </c>
      <c r="B835" t="s">
        <v>40</v>
      </c>
      <c r="C835">
        <v>22</v>
      </c>
      <c r="D835" s="2">
        <v>87.68</v>
      </c>
      <c r="E835" t="s">
        <v>1045</v>
      </c>
      <c r="F835" s="11">
        <v>4650.01</v>
      </c>
      <c r="G835">
        <f>Meter[[#This Row],[EstimatedLoss_RM]]/0.8</f>
        <v>5812.5124999999998</v>
      </c>
      <c r="H835" t="str" cm="1">
        <f t="array" ref="H835">_xlfn.IFS(C835&lt;=5, "0–5 years", C835&lt;=10, "6–10 years", C835&lt;=15, "11–15 years", C835&lt;=20, "16–20 years", TRUE, "21–25 years")</f>
        <v>21–25 years</v>
      </c>
    </row>
    <row r="836" spans="1:8" x14ac:dyDescent="0.3">
      <c r="A836" t="s">
        <v>1432</v>
      </c>
      <c r="B836" t="s">
        <v>40</v>
      </c>
      <c r="C836">
        <v>23</v>
      </c>
      <c r="D836" s="9">
        <v>87.65</v>
      </c>
      <c r="E836" t="s">
        <v>1043</v>
      </c>
      <c r="F836" s="10">
        <v>4651.62</v>
      </c>
      <c r="G836">
        <f>Meter[[#This Row],[EstimatedLoss_RM]]/0.8</f>
        <v>5814.5249999999996</v>
      </c>
      <c r="H836" t="str" cm="1">
        <f t="array" ref="H836">_xlfn.IFS(C836&lt;=5, "0–5 years", C836&lt;=10, "6–10 years", C836&lt;=15, "11–15 years", C836&lt;=20, "16–20 years", TRUE, "21–25 years")</f>
        <v>21–25 years</v>
      </c>
    </row>
    <row r="837" spans="1:8" x14ac:dyDescent="0.3">
      <c r="A837" t="s">
        <v>1915</v>
      </c>
      <c r="B837" t="s">
        <v>44</v>
      </c>
      <c r="C837">
        <v>19</v>
      </c>
      <c r="D837" s="2">
        <v>87.64</v>
      </c>
      <c r="E837" t="s">
        <v>1041</v>
      </c>
      <c r="F837" s="11">
        <v>4653.75</v>
      </c>
      <c r="G837">
        <f>Meter[[#This Row],[EstimatedLoss_RM]]/0.8</f>
        <v>5817.1875</v>
      </c>
      <c r="H837" t="str" cm="1">
        <f t="array" ref="H837">_xlfn.IFS(C837&lt;=5, "0–5 years", C837&lt;=10, "6–10 years", C837&lt;=15, "11–15 years", C837&lt;=20, "16–20 years", TRUE, "21–25 years")</f>
        <v>16–20 years</v>
      </c>
    </row>
    <row r="838" spans="1:8" x14ac:dyDescent="0.3">
      <c r="A838" t="s">
        <v>1618</v>
      </c>
      <c r="B838" t="s">
        <v>41</v>
      </c>
      <c r="C838">
        <v>15</v>
      </c>
      <c r="D838" s="9">
        <v>87.58</v>
      </c>
      <c r="E838" t="s">
        <v>1041</v>
      </c>
      <c r="F838" s="10">
        <v>4656.6499999999996</v>
      </c>
      <c r="G838">
        <f>Meter[[#This Row],[EstimatedLoss_RM]]/0.8</f>
        <v>5820.8124999999991</v>
      </c>
      <c r="H838" t="str" cm="1">
        <f t="array" ref="H838">_xlfn.IFS(C838&lt;=5, "0–5 years", C838&lt;=10, "6–10 years", C838&lt;=15, "11–15 years", C838&lt;=20, "16–20 years", TRUE, "21–25 years")</f>
        <v>11–15 years</v>
      </c>
    </row>
    <row r="839" spans="1:8" x14ac:dyDescent="0.3">
      <c r="A839" t="s">
        <v>1610</v>
      </c>
      <c r="B839" t="s">
        <v>48</v>
      </c>
      <c r="C839">
        <v>21</v>
      </c>
      <c r="D839" s="2">
        <v>87.58</v>
      </c>
      <c r="E839" t="s">
        <v>1045</v>
      </c>
      <c r="F839" s="11">
        <v>4661.4799999999996</v>
      </c>
      <c r="G839">
        <f>Meter[[#This Row],[EstimatedLoss_RM]]/0.8</f>
        <v>5826.8499999999995</v>
      </c>
      <c r="H839" t="str" cm="1">
        <f t="array" ref="H839">_xlfn.IFS(C839&lt;=5, "0–5 years", C839&lt;=10, "6–10 years", C839&lt;=15, "11–15 years", C839&lt;=20, "16–20 years", TRUE, "21–25 years")</f>
        <v>21–25 years</v>
      </c>
    </row>
    <row r="840" spans="1:8" x14ac:dyDescent="0.3">
      <c r="A840" t="s">
        <v>1422</v>
      </c>
      <c r="B840" t="s">
        <v>46</v>
      </c>
      <c r="C840">
        <v>22</v>
      </c>
      <c r="D840" s="9">
        <v>87.58</v>
      </c>
      <c r="E840" t="s">
        <v>1045</v>
      </c>
      <c r="F840" s="10">
        <v>4655.4399999999996</v>
      </c>
      <c r="G840">
        <f>Meter[[#This Row],[EstimatedLoss_RM]]/0.8</f>
        <v>5819.2999999999993</v>
      </c>
      <c r="H840" t="str" cm="1">
        <f t="array" ref="H840">_xlfn.IFS(C840&lt;=5, "0–5 years", C840&lt;=10, "6–10 years", C840&lt;=15, "11–15 years", C840&lt;=20, "16–20 years", TRUE, "21–25 years")</f>
        <v>21–25 years</v>
      </c>
    </row>
    <row r="841" spans="1:8" x14ac:dyDescent="0.3">
      <c r="A841" t="s">
        <v>1365</v>
      </c>
      <c r="B841" t="s">
        <v>40</v>
      </c>
      <c r="C841">
        <v>22</v>
      </c>
      <c r="D841" s="2">
        <v>87.56</v>
      </c>
      <c r="E841" t="s">
        <v>1045</v>
      </c>
      <c r="F841" s="11">
        <v>4662.6899999999996</v>
      </c>
      <c r="G841">
        <f>Meter[[#This Row],[EstimatedLoss_RM]]/0.8</f>
        <v>5828.3624999999993</v>
      </c>
      <c r="H841" t="str" cm="1">
        <f t="array" ref="H841">_xlfn.IFS(C841&lt;=5, "0–5 years", C841&lt;=10, "6–10 years", C841&lt;=15, "11–15 years", C841&lt;=20, "16–20 years", TRUE, "21–25 years")</f>
        <v>21–25 years</v>
      </c>
    </row>
    <row r="842" spans="1:8" x14ac:dyDescent="0.3">
      <c r="A842" t="s">
        <v>1064</v>
      </c>
      <c r="B842" t="s">
        <v>43</v>
      </c>
      <c r="C842">
        <v>25</v>
      </c>
      <c r="D842" s="9">
        <v>87.55</v>
      </c>
      <c r="E842" t="s">
        <v>1043</v>
      </c>
      <c r="F842" s="10">
        <v>4669.45</v>
      </c>
      <c r="G842">
        <f>Meter[[#This Row],[EstimatedLoss_RM]]/0.8</f>
        <v>5836.8124999999991</v>
      </c>
      <c r="H842" t="str" cm="1">
        <f t="array" ref="H842">_xlfn.IFS(C842&lt;=5, "0–5 years", C842&lt;=10, "6–10 years", C842&lt;=15, "11–15 years", C842&lt;=20, "16–20 years", TRUE, "21–25 years")</f>
        <v>21–25 years</v>
      </c>
    </row>
    <row r="843" spans="1:8" x14ac:dyDescent="0.3">
      <c r="A843" t="s">
        <v>1182</v>
      </c>
      <c r="B843" t="s">
        <v>38</v>
      </c>
      <c r="C843">
        <v>20</v>
      </c>
      <c r="D843" s="2">
        <v>87.54</v>
      </c>
      <c r="E843" t="s">
        <v>1043</v>
      </c>
      <c r="F843" s="11">
        <v>4669.6400000000003</v>
      </c>
      <c r="G843">
        <f>Meter[[#This Row],[EstimatedLoss_RM]]/0.8</f>
        <v>5837.05</v>
      </c>
      <c r="H843" t="str" cm="1">
        <f t="array" ref="H843">_xlfn.IFS(C843&lt;=5, "0–5 years", C843&lt;=10, "6–10 years", C843&lt;=15, "11–15 years", C843&lt;=20, "16–20 years", TRUE, "21–25 years")</f>
        <v>16–20 years</v>
      </c>
    </row>
    <row r="844" spans="1:8" x14ac:dyDescent="0.3">
      <c r="A844" t="s">
        <v>1048</v>
      </c>
      <c r="B844" t="s">
        <v>44</v>
      </c>
      <c r="C844">
        <v>25</v>
      </c>
      <c r="D844" s="9">
        <v>87.53</v>
      </c>
      <c r="E844" t="s">
        <v>1043</v>
      </c>
      <c r="F844" s="10">
        <v>4675.46</v>
      </c>
      <c r="G844">
        <f>Meter[[#This Row],[EstimatedLoss_RM]]/0.8</f>
        <v>5844.3249999999998</v>
      </c>
      <c r="H844" t="str" cm="1">
        <f t="array" ref="H844">_xlfn.IFS(C844&lt;=5, "0–5 years", C844&lt;=10, "6–10 years", C844&lt;=15, "11–15 years", C844&lt;=20, "16–20 years", TRUE, "21–25 years")</f>
        <v>21–25 years</v>
      </c>
    </row>
    <row r="845" spans="1:8" x14ac:dyDescent="0.3">
      <c r="A845" t="s">
        <v>1112</v>
      </c>
      <c r="B845" t="s">
        <v>38</v>
      </c>
      <c r="C845">
        <v>23</v>
      </c>
      <c r="D845" s="2">
        <v>87.51</v>
      </c>
      <c r="E845" t="s">
        <v>1045</v>
      </c>
      <c r="F845" s="11">
        <v>4676.49</v>
      </c>
      <c r="G845">
        <f>Meter[[#This Row],[EstimatedLoss_RM]]/0.8</f>
        <v>5845.6124999999993</v>
      </c>
      <c r="H845" t="str" cm="1">
        <f t="array" ref="H845">_xlfn.IFS(C845&lt;=5, "0–5 years", C845&lt;=10, "6–10 years", C845&lt;=15, "11–15 years", C845&lt;=20, "16–20 years", TRUE, "21–25 years")</f>
        <v>21–25 years</v>
      </c>
    </row>
    <row r="846" spans="1:8" x14ac:dyDescent="0.3">
      <c r="A846" t="s">
        <v>1867</v>
      </c>
      <c r="B846" t="s">
        <v>46</v>
      </c>
      <c r="C846">
        <v>24</v>
      </c>
      <c r="D846" s="9">
        <v>87.51</v>
      </c>
      <c r="E846" t="s">
        <v>1041</v>
      </c>
      <c r="F846" s="10">
        <v>4684.8599999999997</v>
      </c>
      <c r="G846">
        <f>Meter[[#This Row],[EstimatedLoss_RM]]/0.8</f>
        <v>5856.0749999999989</v>
      </c>
      <c r="H846" t="str" cm="1">
        <f t="array" ref="H846">_xlfn.IFS(C846&lt;=5, "0–5 years", C846&lt;=10, "6–10 years", C846&lt;=15, "11–15 years", C846&lt;=20, "16–20 years", TRUE, "21–25 years")</f>
        <v>21–25 years</v>
      </c>
    </row>
    <row r="847" spans="1:8" x14ac:dyDescent="0.3">
      <c r="A847" t="s">
        <v>1308</v>
      </c>
      <c r="B847" t="s">
        <v>39</v>
      </c>
      <c r="C847">
        <v>20</v>
      </c>
      <c r="D847" s="2">
        <v>87.5</v>
      </c>
      <c r="E847" t="s">
        <v>1043</v>
      </c>
      <c r="F847" s="11">
        <v>4685.92</v>
      </c>
      <c r="G847">
        <f>Meter[[#This Row],[EstimatedLoss_RM]]/0.8</f>
        <v>5857.4</v>
      </c>
      <c r="H847" t="str" cm="1">
        <f t="array" ref="H847">_xlfn.IFS(C847&lt;=5, "0–5 years", C847&lt;=10, "6–10 years", C847&lt;=15, "11–15 years", C847&lt;=20, "16–20 years", TRUE, "21–25 years")</f>
        <v>16–20 years</v>
      </c>
    </row>
    <row r="848" spans="1:8" x14ac:dyDescent="0.3">
      <c r="A848" t="s">
        <v>1293</v>
      </c>
      <c r="B848" t="s">
        <v>38</v>
      </c>
      <c r="C848">
        <v>20</v>
      </c>
      <c r="D848" s="9">
        <v>87.48</v>
      </c>
      <c r="E848" t="s">
        <v>1041</v>
      </c>
      <c r="F848" s="10">
        <v>4698.5</v>
      </c>
      <c r="G848">
        <f>Meter[[#This Row],[EstimatedLoss_RM]]/0.8</f>
        <v>5873.125</v>
      </c>
      <c r="H848" t="str" cm="1">
        <f t="array" ref="H848">_xlfn.IFS(C848&lt;=5, "0–5 years", C848&lt;=10, "6–10 years", C848&lt;=15, "11–15 years", C848&lt;=20, "16–20 years", TRUE, "21–25 years")</f>
        <v>16–20 years</v>
      </c>
    </row>
    <row r="849" spans="1:8" x14ac:dyDescent="0.3">
      <c r="A849" t="s">
        <v>1492</v>
      </c>
      <c r="B849" t="s">
        <v>46</v>
      </c>
      <c r="C849">
        <v>21</v>
      </c>
      <c r="D849" s="2">
        <v>87.48</v>
      </c>
      <c r="E849" t="s">
        <v>1041</v>
      </c>
      <c r="F849" s="11">
        <v>4691.59</v>
      </c>
      <c r="G849">
        <f>Meter[[#This Row],[EstimatedLoss_RM]]/0.8</f>
        <v>5864.4875000000002</v>
      </c>
      <c r="H849" t="str" cm="1">
        <f t="array" ref="H849">_xlfn.IFS(C849&lt;=5, "0–5 years", C849&lt;=10, "6–10 years", C849&lt;=15, "11–15 years", C849&lt;=20, "16–20 years", TRUE, "21–25 years")</f>
        <v>21–25 years</v>
      </c>
    </row>
    <row r="850" spans="1:8" x14ac:dyDescent="0.3">
      <c r="A850" t="s">
        <v>1836</v>
      </c>
      <c r="B850" t="s">
        <v>42</v>
      </c>
      <c r="C850">
        <v>20</v>
      </c>
      <c r="D850" s="9">
        <v>87.45</v>
      </c>
      <c r="E850" t="s">
        <v>1043</v>
      </c>
      <c r="F850" s="10">
        <v>4698.8900000000003</v>
      </c>
      <c r="G850">
        <f>Meter[[#This Row],[EstimatedLoss_RM]]/0.8</f>
        <v>5873.6125000000002</v>
      </c>
      <c r="H850" t="str" cm="1">
        <f t="array" ref="H850">_xlfn.IFS(C850&lt;=5, "0–5 years", C850&lt;=10, "6–10 years", C850&lt;=15, "11–15 years", C850&lt;=20, "16–20 years", TRUE, "21–25 years")</f>
        <v>16–20 years</v>
      </c>
    </row>
    <row r="851" spans="1:8" x14ac:dyDescent="0.3">
      <c r="A851" t="s">
        <v>1621</v>
      </c>
      <c r="B851" t="s">
        <v>46</v>
      </c>
      <c r="C851">
        <v>19</v>
      </c>
      <c r="D851" s="2">
        <v>87.44</v>
      </c>
      <c r="E851" t="s">
        <v>1045</v>
      </c>
      <c r="F851" s="11">
        <v>4707.97</v>
      </c>
      <c r="G851">
        <f>Meter[[#This Row],[EstimatedLoss_RM]]/0.8</f>
        <v>5884.9624999999996</v>
      </c>
      <c r="H851" t="str" cm="1">
        <f t="array" ref="H851">_xlfn.IFS(C851&lt;=5, "0–5 years", C851&lt;=10, "6–10 years", C851&lt;=15, "11–15 years", C851&lt;=20, "16–20 years", TRUE, "21–25 years")</f>
        <v>16–20 years</v>
      </c>
    </row>
    <row r="852" spans="1:8" x14ac:dyDescent="0.3">
      <c r="A852" t="s">
        <v>1784</v>
      </c>
      <c r="B852" t="s">
        <v>50</v>
      </c>
      <c r="C852">
        <v>20</v>
      </c>
      <c r="D852" s="9">
        <v>87.44</v>
      </c>
      <c r="E852" t="s">
        <v>1041</v>
      </c>
      <c r="F852" s="10">
        <v>4709.43</v>
      </c>
      <c r="G852">
        <f>Meter[[#This Row],[EstimatedLoss_RM]]/0.8</f>
        <v>5886.7875000000004</v>
      </c>
      <c r="H852" t="str" cm="1">
        <f t="array" ref="H852">_xlfn.IFS(C852&lt;=5, "0–5 years", C852&lt;=10, "6–10 years", C852&lt;=15, "11–15 years", C852&lt;=20, "16–20 years", TRUE, "21–25 years")</f>
        <v>16–20 years</v>
      </c>
    </row>
    <row r="853" spans="1:8" x14ac:dyDescent="0.3">
      <c r="A853" t="s">
        <v>1681</v>
      </c>
      <c r="B853" t="s">
        <v>40</v>
      </c>
      <c r="C853">
        <v>20</v>
      </c>
      <c r="D853" s="2">
        <v>87.42</v>
      </c>
      <c r="E853" t="s">
        <v>1045</v>
      </c>
      <c r="F853" s="11">
        <v>4714.28</v>
      </c>
      <c r="G853">
        <f>Meter[[#This Row],[EstimatedLoss_RM]]/0.8</f>
        <v>5892.8499999999995</v>
      </c>
      <c r="H853" t="str" cm="1">
        <f t="array" ref="H853">_xlfn.IFS(C853&lt;=5, "0–5 years", C853&lt;=10, "6–10 years", C853&lt;=15, "11–15 years", C853&lt;=20, "16–20 years", TRUE, "21–25 years")</f>
        <v>16–20 years</v>
      </c>
    </row>
    <row r="854" spans="1:8" x14ac:dyDescent="0.3">
      <c r="A854" t="s">
        <v>1556</v>
      </c>
      <c r="B854" t="s">
        <v>50</v>
      </c>
      <c r="C854">
        <v>22</v>
      </c>
      <c r="D854" s="9">
        <v>87.38</v>
      </c>
      <c r="E854" t="s">
        <v>1041</v>
      </c>
      <c r="F854" s="10">
        <v>4715.43</v>
      </c>
      <c r="G854">
        <f>Meter[[#This Row],[EstimatedLoss_RM]]/0.8</f>
        <v>5894.2875000000004</v>
      </c>
      <c r="H854" t="str" cm="1">
        <f t="array" ref="H854">_xlfn.IFS(C854&lt;=5, "0–5 years", C854&lt;=10, "6–10 years", C854&lt;=15, "11–15 years", C854&lt;=20, "16–20 years", TRUE, "21–25 years")</f>
        <v>21–25 years</v>
      </c>
    </row>
    <row r="855" spans="1:8" x14ac:dyDescent="0.3">
      <c r="A855" t="s">
        <v>1644</v>
      </c>
      <c r="B855" t="s">
        <v>53</v>
      </c>
      <c r="C855">
        <v>22</v>
      </c>
      <c r="D855" s="2">
        <v>87.36</v>
      </c>
      <c r="E855" t="s">
        <v>1041</v>
      </c>
      <c r="F855" s="11">
        <v>4721.12</v>
      </c>
      <c r="G855">
        <f>Meter[[#This Row],[EstimatedLoss_RM]]/0.8</f>
        <v>5901.4</v>
      </c>
      <c r="H855" t="str" cm="1">
        <f t="array" ref="H855">_xlfn.IFS(C855&lt;=5, "0–5 years", C855&lt;=10, "6–10 years", C855&lt;=15, "11–15 years", C855&lt;=20, "16–20 years", TRUE, "21–25 years")</f>
        <v>21–25 years</v>
      </c>
    </row>
    <row r="856" spans="1:8" x14ac:dyDescent="0.3">
      <c r="A856" t="s">
        <v>1870</v>
      </c>
      <c r="B856" t="s">
        <v>49</v>
      </c>
      <c r="C856">
        <v>24</v>
      </c>
      <c r="D856" s="9">
        <v>87.35</v>
      </c>
      <c r="E856" t="s">
        <v>1045</v>
      </c>
      <c r="F856" s="10">
        <v>4724.3</v>
      </c>
      <c r="G856">
        <f>Meter[[#This Row],[EstimatedLoss_RM]]/0.8</f>
        <v>5905.375</v>
      </c>
      <c r="H856" t="str" cm="1">
        <f t="array" ref="H856">_xlfn.IFS(C856&lt;=5, "0–5 years", C856&lt;=10, "6–10 years", C856&lt;=15, "11–15 years", C856&lt;=20, "16–20 years", TRUE, "21–25 years")</f>
        <v>21–25 years</v>
      </c>
    </row>
    <row r="857" spans="1:8" x14ac:dyDescent="0.3">
      <c r="A857" t="s">
        <v>1288</v>
      </c>
      <c r="B857" t="s">
        <v>43</v>
      </c>
      <c r="C857">
        <v>25</v>
      </c>
      <c r="D857" s="2">
        <v>87.33</v>
      </c>
      <c r="E857" t="s">
        <v>1043</v>
      </c>
      <c r="F857" s="11">
        <v>4727.1499999999996</v>
      </c>
      <c r="G857">
        <f>Meter[[#This Row],[EstimatedLoss_RM]]/0.8</f>
        <v>5908.9374999999991</v>
      </c>
      <c r="H857" t="str" cm="1">
        <f t="array" ref="H857">_xlfn.IFS(C857&lt;=5, "0–5 years", C857&lt;=10, "6–10 years", C857&lt;=15, "11–15 years", C857&lt;=20, "16–20 years", TRUE, "21–25 years")</f>
        <v>21–25 years</v>
      </c>
    </row>
    <row r="858" spans="1:8" x14ac:dyDescent="0.3">
      <c r="A858" t="s">
        <v>1472</v>
      </c>
      <c r="B858" t="s">
        <v>46</v>
      </c>
      <c r="C858">
        <v>18</v>
      </c>
      <c r="D858" s="9">
        <v>87.28</v>
      </c>
      <c r="E858" t="s">
        <v>1045</v>
      </c>
      <c r="F858" s="10">
        <v>4729.5600000000004</v>
      </c>
      <c r="G858">
        <f>Meter[[#This Row],[EstimatedLoss_RM]]/0.8</f>
        <v>5911.95</v>
      </c>
      <c r="H858" t="str" cm="1">
        <f t="array" ref="H858">_xlfn.IFS(C858&lt;=5, "0–5 years", C858&lt;=10, "6–10 years", C858&lt;=15, "11–15 years", C858&lt;=20, "16–20 years", TRUE, "21–25 years")</f>
        <v>16–20 years</v>
      </c>
    </row>
    <row r="859" spans="1:8" x14ac:dyDescent="0.3">
      <c r="A859" t="s">
        <v>1930</v>
      </c>
      <c r="B859" t="s">
        <v>49</v>
      </c>
      <c r="C859">
        <v>25</v>
      </c>
      <c r="D859" s="2">
        <v>87.28</v>
      </c>
      <c r="E859" t="s">
        <v>1043</v>
      </c>
      <c r="F859" s="11">
        <v>4729.3900000000003</v>
      </c>
      <c r="G859">
        <f>Meter[[#This Row],[EstimatedLoss_RM]]/0.8</f>
        <v>5911.7375000000002</v>
      </c>
      <c r="H859" t="str" cm="1">
        <f t="array" ref="H859">_xlfn.IFS(C859&lt;=5, "0–5 years", C859&lt;=10, "6–10 years", C859&lt;=15, "11–15 years", C859&lt;=20, "16–20 years", TRUE, "21–25 years")</f>
        <v>21–25 years</v>
      </c>
    </row>
    <row r="860" spans="1:8" x14ac:dyDescent="0.3">
      <c r="A860" t="s">
        <v>1469</v>
      </c>
      <c r="B860" t="s">
        <v>43</v>
      </c>
      <c r="C860">
        <v>22</v>
      </c>
      <c r="D860" s="9">
        <v>87.27</v>
      </c>
      <c r="E860" t="s">
        <v>1043</v>
      </c>
      <c r="F860" s="10">
        <v>4748.3900000000003</v>
      </c>
      <c r="G860">
        <f>Meter[[#This Row],[EstimatedLoss_RM]]/0.8</f>
        <v>5935.4875000000002</v>
      </c>
      <c r="H860" t="str" cm="1">
        <f t="array" ref="H860">_xlfn.IFS(C860&lt;=5, "0–5 years", C860&lt;=10, "6–10 years", C860&lt;=15, "11–15 years", C860&lt;=20, "16–20 years", TRUE, "21–25 years")</f>
        <v>21–25 years</v>
      </c>
    </row>
    <row r="861" spans="1:8" x14ac:dyDescent="0.3">
      <c r="A861" t="s">
        <v>1730</v>
      </c>
      <c r="B861" t="s">
        <v>41</v>
      </c>
      <c r="C861">
        <v>25</v>
      </c>
      <c r="D861" s="2">
        <v>87.25</v>
      </c>
      <c r="E861" t="s">
        <v>1043</v>
      </c>
      <c r="F861" s="11">
        <v>4753.6099999999997</v>
      </c>
      <c r="G861">
        <f>Meter[[#This Row],[EstimatedLoss_RM]]/0.8</f>
        <v>5942.0124999999989</v>
      </c>
      <c r="H861" t="str" cm="1">
        <f t="array" ref="H861">_xlfn.IFS(C861&lt;=5, "0–5 years", C861&lt;=10, "6–10 years", C861&lt;=15, "11–15 years", C861&lt;=20, "16–20 years", TRUE, "21–25 years")</f>
        <v>21–25 years</v>
      </c>
    </row>
    <row r="862" spans="1:8" x14ac:dyDescent="0.3">
      <c r="A862" t="s">
        <v>1774</v>
      </c>
      <c r="B862" t="s">
        <v>42</v>
      </c>
      <c r="C862">
        <v>22</v>
      </c>
      <c r="D862" s="9">
        <v>87.24</v>
      </c>
      <c r="E862" t="s">
        <v>1041</v>
      </c>
      <c r="F862" s="10">
        <v>4762.96</v>
      </c>
      <c r="G862">
        <f>Meter[[#This Row],[EstimatedLoss_RM]]/0.8</f>
        <v>5953.7</v>
      </c>
      <c r="H862" t="str" cm="1">
        <f t="array" ref="H862">_xlfn.IFS(C862&lt;=5, "0–5 years", C862&lt;=10, "6–10 years", C862&lt;=15, "11–15 years", C862&lt;=20, "16–20 years", TRUE, "21–25 years")</f>
        <v>21–25 years</v>
      </c>
    </row>
    <row r="863" spans="1:8" x14ac:dyDescent="0.3">
      <c r="A863" t="s">
        <v>1078</v>
      </c>
      <c r="B863" t="s">
        <v>39</v>
      </c>
      <c r="C863">
        <v>21</v>
      </c>
      <c r="D863" s="2">
        <v>87.16</v>
      </c>
      <c r="E863" t="s">
        <v>1045</v>
      </c>
      <c r="F863" s="11">
        <v>4763.21</v>
      </c>
      <c r="G863">
        <f>Meter[[#This Row],[EstimatedLoss_RM]]/0.8</f>
        <v>5954.0124999999998</v>
      </c>
      <c r="H863" t="str" cm="1">
        <f t="array" ref="H863">_xlfn.IFS(C863&lt;=5, "0–5 years", C863&lt;=10, "6–10 years", C863&lt;=15, "11–15 years", C863&lt;=20, "16–20 years", TRUE, "21–25 years")</f>
        <v>21–25 years</v>
      </c>
    </row>
    <row r="864" spans="1:8" x14ac:dyDescent="0.3">
      <c r="A864" t="s">
        <v>1314</v>
      </c>
      <c r="B864" t="s">
        <v>43</v>
      </c>
      <c r="C864">
        <v>20</v>
      </c>
      <c r="D864" s="9">
        <v>87.13</v>
      </c>
      <c r="E864" t="s">
        <v>1045</v>
      </c>
      <c r="F864" s="10">
        <v>4765.91</v>
      </c>
      <c r="G864">
        <f>Meter[[#This Row],[EstimatedLoss_RM]]/0.8</f>
        <v>5957.3874999999998</v>
      </c>
      <c r="H864" t="str" cm="1">
        <f t="array" ref="H864">_xlfn.IFS(C864&lt;=5, "0–5 years", C864&lt;=10, "6–10 years", C864&lt;=15, "11–15 years", C864&lt;=20, "16–20 years", TRUE, "21–25 years")</f>
        <v>16–20 years</v>
      </c>
    </row>
    <row r="865" spans="1:8" x14ac:dyDescent="0.3">
      <c r="A865" t="s">
        <v>1891</v>
      </c>
      <c r="B865" t="s">
        <v>40</v>
      </c>
      <c r="C865">
        <v>24</v>
      </c>
      <c r="D865" s="2">
        <v>87.12</v>
      </c>
      <c r="E865" t="s">
        <v>1043</v>
      </c>
      <c r="F865" s="11">
        <v>4767.17</v>
      </c>
      <c r="G865">
        <f>Meter[[#This Row],[EstimatedLoss_RM]]/0.8</f>
        <v>5958.9624999999996</v>
      </c>
      <c r="H865" t="str" cm="1">
        <f t="array" ref="H865">_xlfn.IFS(C865&lt;=5, "0–5 years", C865&lt;=10, "6–10 years", C865&lt;=15, "11–15 years", C865&lt;=20, "16–20 years", TRUE, "21–25 years")</f>
        <v>21–25 years</v>
      </c>
    </row>
    <row r="866" spans="1:8" x14ac:dyDescent="0.3">
      <c r="A866" t="s">
        <v>1529</v>
      </c>
      <c r="B866" t="s">
        <v>42</v>
      </c>
      <c r="C866">
        <v>24</v>
      </c>
      <c r="D866" s="9">
        <v>87.11</v>
      </c>
      <c r="E866" t="s">
        <v>1041</v>
      </c>
      <c r="F866" s="10">
        <v>4779.75</v>
      </c>
      <c r="G866">
        <f>Meter[[#This Row],[EstimatedLoss_RM]]/0.8</f>
        <v>5974.6875</v>
      </c>
      <c r="H866" t="str" cm="1">
        <f t="array" ref="H866">_xlfn.IFS(C866&lt;=5, "0–5 years", C866&lt;=10, "6–10 years", C866&lt;=15, "11–15 years", C866&lt;=20, "16–20 years", TRUE, "21–25 years")</f>
        <v>21–25 years</v>
      </c>
    </row>
    <row r="867" spans="1:8" x14ac:dyDescent="0.3">
      <c r="A867" t="s">
        <v>1267</v>
      </c>
      <c r="B867" t="s">
        <v>45</v>
      </c>
      <c r="C867">
        <v>25</v>
      </c>
      <c r="D867" s="2">
        <v>87.06</v>
      </c>
      <c r="E867" t="s">
        <v>1041</v>
      </c>
      <c r="F867" s="11">
        <v>4783.18</v>
      </c>
      <c r="G867">
        <f>Meter[[#This Row],[EstimatedLoss_RM]]/0.8</f>
        <v>5978.9750000000004</v>
      </c>
      <c r="H867" t="str" cm="1">
        <f t="array" ref="H867">_xlfn.IFS(C867&lt;=5, "0–5 years", C867&lt;=10, "6–10 years", C867&lt;=15, "11–15 years", C867&lt;=20, "16–20 years", TRUE, "21–25 years")</f>
        <v>21–25 years</v>
      </c>
    </row>
    <row r="868" spans="1:8" x14ac:dyDescent="0.3">
      <c r="A868" t="s">
        <v>1714</v>
      </c>
      <c r="B868" t="s">
        <v>44</v>
      </c>
      <c r="C868">
        <v>17</v>
      </c>
      <c r="D868" s="9">
        <v>87.05</v>
      </c>
      <c r="E868" t="s">
        <v>1041</v>
      </c>
      <c r="F868" s="10">
        <v>4783.2299999999996</v>
      </c>
      <c r="G868">
        <f>Meter[[#This Row],[EstimatedLoss_RM]]/0.8</f>
        <v>5979.0374999999995</v>
      </c>
      <c r="H868" t="str" cm="1">
        <f t="array" ref="H868">_xlfn.IFS(C868&lt;=5, "0–5 years", C868&lt;=10, "6–10 years", C868&lt;=15, "11–15 years", C868&lt;=20, "16–20 years", TRUE, "21–25 years")</f>
        <v>16–20 years</v>
      </c>
    </row>
    <row r="869" spans="1:8" x14ac:dyDescent="0.3">
      <c r="A869" t="s">
        <v>1745</v>
      </c>
      <c r="B869" t="s">
        <v>52</v>
      </c>
      <c r="C869">
        <v>24</v>
      </c>
      <c r="D869" s="2">
        <v>86.99</v>
      </c>
      <c r="E869" t="s">
        <v>1045</v>
      </c>
      <c r="F869" s="11">
        <v>4783.38</v>
      </c>
      <c r="G869">
        <f>Meter[[#This Row],[EstimatedLoss_RM]]/0.8</f>
        <v>5979.2249999999995</v>
      </c>
      <c r="H869" t="str" cm="1">
        <f t="array" ref="H869">_xlfn.IFS(C869&lt;=5, "0–5 years", C869&lt;=10, "6–10 years", C869&lt;=15, "11–15 years", C869&lt;=20, "16–20 years", TRUE, "21–25 years")</f>
        <v>21–25 years</v>
      </c>
    </row>
    <row r="870" spans="1:8" x14ac:dyDescent="0.3">
      <c r="A870" t="s">
        <v>1131</v>
      </c>
      <c r="B870" t="s">
        <v>40</v>
      </c>
      <c r="C870">
        <v>25</v>
      </c>
      <c r="D870" s="9">
        <v>86.94</v>
      </c>
      <c r="E870" t="s">
        <v>1045</v>
      </c>
      <c r="F870" s="10">
        <v>4787.3900000000003</v>
      </c>
      <c r="G870">
        <f>Meter[[#This Row],[EstimatedLoss_RM]]/0.8</f>
        <v>5984.2375000000002</v>
      </c>
      <c r="H870" t="str" cm="1">
        <f t="array" ref="H870">_xlfn.IFS(C870&lt;=5, "0–5 years", C870&lt;=10, "6–10 years", C870&lt;=15, "11–15 years", C870&lt;=20, "16–20 years", TRUE, "21–25 years")</f>
        <v>21–25 years</v>
      </c>
    </row>
    <row r="871" spans="1:8" x14ac:dyDescent="0.3">
      <c r="A871" t="s">
        <v>1824</v>
      </c>
      <c r="B871" t="s">
        <v>47</v>
      </c>
      <c r="C871">
        <v>21</v>
      </c>
      <c r="D871" s="2">
        <v>86.93</v>
      </c>
      <c r="E871" t="s">
        <v>1041</v>
      </c>
      <c r="F871" s="11">
        <v>4787.93</v>
      </c>
      <c r="G871">
        <f>Meter[[#This Row],[EstimatedLoss_RM]]/0.8</f>
        <v>5984.9125000000004</v>
      </c>
      <c r="H871" t="str" cm="1">
        <f t="array" ref="H871">_xlfn.IFS(C871&lt;=5, "0–5 years", C871&lt;=10, "6–10 years", C871&lt;=15, "11–15 years", C871&lt;=20, "16–20 years", TRUE, "21–25 years")</f>
        <v>21–25 years</v>
      </c>
    </row>
    <row r="872" spans="1:8" x14ac:dyDescent="0.3">
      <c r="A872" t="s">
        <v>1328</v>
      </c>
      <c r="B872" t="s">
        <v>39</v>
      </c>
      <c r="C872">
        <v>18</v>
      </c>
      <c r="D872" s="9">
        <v>86.9</v>
      </c>
      <c r="E872" t="s">
        <v>1043</v>
      </c>
      <c r="F872" s="10">
        <v>4799.22</v>
      </c>
      <c r="G872">
        <f>Meter[[#This Row],[EstimatedLoss_RM]]/0.8</f>
        <v>5999.0249999999996</v>
      </c>
      <c r="H872" t="str" cm="1">
        <f t="array" ref="H872">_xlfn.IFS(C872&lt;=5, "0–5 years", C872&lt;=10, "6–10 years", C872&lt;=15, "11–15 years", C872&lt;=20, "16–20 years", TRUE, "21–25 years")</f>
        <v>16–20 years</v>
      </c>
    </row>
    <row r="873" spans="1:8" x14ac:dyDescent="0.3">
      <c r="A873" t="s">
        <v>1458</v>
      </c>
      <c r="B873" t="s">
        <v>40</v>
      </c>
      <c r="C873">
        <v>24</v>
      </c>
      <c r="D873" s="2">
        <v>86.9</v>
      </c>
      <c r="E873" t="s">
        <v>1041</v>
      </c>
      <c r="F873" s="11">
        <v>4808.8900000000003</v>
      </c>
      <c r="G873">
        <f>Meter[[#This Row],[EstimatedLoss_RM]]/0.8</f>
        <v>6011.1125000000002</v>
      </c>
      <c r="H873" t="str" cm="1">
        <f t="array" ref="H873">_xlfn.IFS(C873&lt;=5, "0–5 years", C873&lt;=10, "6–10 years", C873&lt;=15, "11–15 years", C873&lt;=20, "16–20 years", TRUE, "21–25 years")</f>
        <v>21–25 years</v>
      </c>
    </row>
    <row r="874" spans="1:8" x14ac:dyDescent="0.3">
      <c r="A874" t="s">
        <v>1649</v>
      </c>
      <c r="B874" t="s">
        <v>46</v>
      </c>
      <c r="C874">
        <v>24</v>
      </c>
      <c r="D874" s="9">
        <v>86.85</v>
      </c>
      <c r="E874" t="s">
        <v>1041</v>
      </c>
      <c r="F874" s="10">
        <v>4817.8999999999996</v>
      </c>
      <c r="G874">
        <f>Meter[[#This Row],[EstimatedLoss_RM]]/0.8</f>
        <v>6022.3749999999991</v>
      </c>
      <c r="H874" t="str" cm="1">
        <f t="array" ref="H874">_xlfn.IFS(C874&lt;=5, "0–5 years", C874&lt;=10, "6–10 years", C874&lt;=15, "11–15 years", C874&lt;=20, "16–20 years", TRUE, "21–25 years")</f>
        <v>21–25 years</v>
      </c>
    </row>
    <row r="875" spans="1:8" x14ac:dyDescent="0.3">
      <c r="A875" t="s">
        <v>1557</v>
      </c>
      <c r="B875" t="s">
        <v>45</v>
      </c>
      <c r="C875">
        <v>25</v>
      </c>
      <c r="D875" s="2">
        <v>86.85</v>
      </c>
      <c r="E875" t="s">
        <v>1043</v>
      </c>
      <c r="F875" s="11">
        <v>4819.54</v>
      </c>
      <c r="G875">
        <f>Meter[[#This Row],[EstimatedLoss_RM]]/0.8</f>
        <v>6024.4249999999993</v>
      </c>
      <c r="H875" t="str" cm="1">
        <f t="array" ref="H875">_xlfn.IFS(C875&lt;=5, "0–5 years", C875&lt;=10, "6–10 years", C875&lt;=15, "11–15 years", C875&lt;=20, "16–20 years", TRUE, "21–25 years")</f>
        <v>21–25 years</v>
      </c>
    </row>
    <row r="876" spans="1:8" x14ac:dyDescent="0.3">
      <c r="A876" t="s">
        <v>1390</v>
      </c>
      <c r="B876" t="s">
        <v>39</v>
      </c>
      <c r="C876">
        <v>21</v>
      </c>
      <c r="D876" s="9">
        <v>86.79</v>
      </c>
      <c r="E876" t="s">
        <v>1043</v>
      </c>
      <c r="F876" s="10">
        <v>4825.78</v>
      </c>
      <c r="G876">
        <f>Meter[[#This Row],[EstimatedLoss_RM]]/0.8</f>
        <v>6032.2249999999995</v>
      </c>
      <c r="H876" t="str" cm="1">
        <f t="array" ref="H876">_xlfn.IFS(C876&lt;=5, "0–5 years", C876&lt;=10, "6–10 years", C876&lt;=15, "11–15 years", C876&lt;=20, "16–20 years", TRUE, "21–25 years")</f>
        <v>21–25 years</v>
      </c>
    </row>
    <row r="877" spans="1:8" x14ac:dyDescent="0.3">
      <c r="A877" t="s">
        <v>1791</v>
      </c>
      <c r="B877" t="s">
        <v>50</v>
      </c>
      <c r="C877">
        <v>25</v>
      </c>
      <c r="D877" s="2">
        <v>86.78</v>
      </c>
      <c r="E877" t="s">
        <v>1043</v>
      </c>
      <c r="F877" s="11">
        <v>4833.43</v>
      </c>
      <c r="G877">
        <f>Meter[[#This Row],[EstimatedLoss_RM]]/0.8</f>
        <v>6041.7875000000004</v>
      </c>
      <c r="H877" t="str" cm="1">
        <f t="array" ref="H877">_xlfn.IFS(C877&lt;=5, "0–5 years", C877&lt;=10, "6–10 years", C877&lt;=15, "11–15 years", C877&lt;=20, "16–20 years", TRUE, "21–25 years")</f>
        <v>21–25 years</v>
      </c>
    </row>
    <row r="878" spans="1:8" x14ac:dyDescent="0.3">
      <c r="A878" t="s">
        <v>1379</v>
      </c>
      <c r="B878" t="s">
        <v>53</v>
      </c>
      <c r="C878">
        <v>24</v>
      </c>
      <c r="D878" s="9">
        <v>86.75</v>
      </c>
      <c r="E878" t="s">
        <v>1043</v>
      </c>
      <c r="F878" s="10">
        <v>4838.62</v>
      </c>
      <c r="G878">
        <f>Meter[[#This Row],[EstimatedLoss_RM]]/0.8</f>
        <v>6048.2749999999996</v>
      </c>
      <c r="H878" t="str" cm="1">
        <f t="array" ref="H878">_xlfn.IFS(C878&lt;=5, "0–5 years", C878&lt;=10, "6–10 years", C878&lt;=15, "11–15 years", C878&lt;=20, "16–20 years", TRUE, "21–25 years")</f>
        <v>21–25 years</v>
      </c>
    </row>
    <row r="879" spans="1:8" x14ac:dyDescent="0.3">
      <c r="A879" t="s">
        <v>1899</v>
      </c>
      <c r="B879" t="s">
        <v>46</v>
      </c>
      <c r="C879">
        <v>24</v>
      </c>
      <c r="D879" s="2">
        <v>86.74</v>
      </c>
      <c r="E879" t="s">
        <v>1043</v>
      </c>
      <c r="F879" s="11">
        <v>4847.6099999999997</v>
      </c>
      <c r="G879">
        <f>Meter[[#This Row],[EstimatedLoss_RM]]/0.8</f>
        <v>6059.5124999999989</v>
      </c>
      <c r="H879" t="str" cm="1">
        <f t="array" ref="H879">_xlfn.IFS(C879&lt;=5, "0–5 years", C879&lt;=10, "6–10 years", C879&lt;=15, "11–15 years", C879&lt;=20, "16–20 years", TRUE, "21–25 years")</f>
        <v>21–25 years</v>
      </c>
    </row>
    <row r="880" spans="1:8" x14ac:dyDescent="0.3">
      <c r="A880" t="s">
        <v>1783</v>
      </c>
      <c r="B880" t="s">
        <v>47</v>
      </c>
      <c r="C880">
        <v>19</v>
      </c>
      <c r="D880" s="9">
        <v>86.72</v>
      </c>
      <c r="E880" t="s">
        <v>1045</v>
      </c>
      <c r="F880" s="10">
        <v>4847.7700000000004</v>
      </c>
      <c r="G880">
        <f>Meter[[#This Row],[EstimatedLoss_RM]]/0.8</f>
        <v>6059.7125000000005</v>
      </c>
      <c r="H880" t="str" cm="1">
        <f t="array" ref="H880">_xlfn.IFS(C880&lt;=5, "0–5 years", C880&lt;=10, "6–10 years", C880&lt;=15, "11–15 years", C880&lt;=20, "16–20 years", TRUE, "21–25 years")</f>
        <v>16–20 years</v>
      </c>
    </row>
    <row r="881" spans="1:8" x14ac:dyDescent="0.3">
      <c r="A881" t="s">
        <v>1611</v>
      </c>
      <c r="B881" t="s">
        <v>47</v>
      </c>
      <c r="C881">
        <v>19</v>
      </c>
      <c r="D881" s="2">
        <v>86.66</v>
      </c>
      <c r="E881" t="s">
        <v>1043</v>
      </c>
      <c r="F881" s="11">
        <v>4854.55</v>
      </c>
      <c r="G881">
        <f>Meter[[#This Row],[EstimatedLoss_RM]]/0.8</f>
        <v>6068.1875</v>
      </c>
      <c r="H881" t="str" cm="1">
        <f t="array" ref="H881">_xlfn.IFS(C881&lt;=5, "0–5 years", C881&lt;=10, "6–10 years", C881&lt;=15, "11–15 years", C881&lt;=20, "16–20 years", TRUE, "21–25 years")</f>
        <v>16–20 years</v>
      </c>
    </row>
    <row r="882" spans="1:8" x14ac:dyDescent="0.3">
      <c r="A882" t="s">
        <v>1696</v>
      </c>
      <c r="B882" t="s">
        <v>49</v>
      </c>
      <c r="C882">
        <v>23</v>
      </c>
      <c r="D882" s="9">
        <v>86.59</v>
      </c>
      <c r="E882" t="s">
        <v>1043</v>
      </c>
      <c r="F882" s="10">
        <v>4861.99</v>
      </c>
      <c r="G882">
        <f>Meter[[#This Row],[EstimatedLoss_RM]]/0.8</f>
        <v>6077.4874999999993</v>
      </c>
      <c r="H882" t="str" cm="1">
        <f t="array" ref="H882">_xlfn.IFS(C882&lt;=5, "0–5 years", C882&lt;=10, "6–10 years", C882&lt;=15, "11–15 years", C882&lt;=20, "16–20 years", TRUE, "21–25 years")</f>
        <v>21–25 years</v>
      </c>
    </row>
    <row r="883" spans="1:8" x14ac:dyDescent="0.3">
      <c r="A883" t="s">
        <v>1080</v>
      </c>
      <c r="B883" t="s">
        <v>47</v>
      </c>
      <c r="C883">
        <v>19</v>
      </c>
      <c r="D883" s="2">
        <v>86.48</v>
      </c>
      <c r="E883" t="s">
        <v>1045</v>
      </c>
      <c r="F883" s="11">
        <v>4862.66</v>
      </c>
      <c r="G883">
        <f>Meter[[#This Row],[EstimatedLoss_RM]]/0.8</f>
        <v>6078.3249999999998</v>
      </c>
      <c r="H883" t="str" cm="1">
        <f t="array" ref="H883">_xlfn.IFS(C883&lt;=5, "0–5 years", C883&lt;=10, "6–10 years", C883&lt;=15, "11–15 years", C883&lt;=20, "16–20 years", TRUE, "21–25 years")</f>
        <v>16–20 years</v>
      </c>
    </row>
    <row r="884" spans="1:8" x14ac:dyDescent="0.3">
      <c r="A884" t="s">
        <v>1418</v>
      </c>
      <c r="B884" t="s">
        <v>44</v>
      </c>
      <c r="C884">
        <v>25</v>
      </c>
      <c r="D884" s="9">
        <v>86.47</v>
      </c>
      <c r="E884" t="s">
        <v>1041</v>
      </c>
      <c r="F884" s="10">
        <v>4863.18</v>
      </c>
      <c r="G884">
        <f>Meter[[#This Row],[EstimatedLoss_RM]]/0.8</f>
        <v>6078.9750000000004</v>
      </c>
      <c r="H884" t="str" cm="1">
        <f t="array" ref="H884">_xlfn.IFS(C884&lt;=5, "0–5 years", C884&lt;=10, "6–10 years", C884&lt;=15, "11–15 years", C884&lt;=20, "16–20 years", TRUE, "21–25 years")</f>
        <v>21–25 years</v>
      </c>
    </row>
    <row r="885" spans="1:8" x14ac:dyDescent="0.3">
      <c r="A885" t="s">
        <v>1818</v>
      </c>
      <c r="B885" t="s">
        <v>44</v>
      </c>
      <c r="C885">
        <v>21</v>
      </c>
      <c r="D885" s="2">
        <v>86.46</v>
      </c>
      <c r="E885" t="s">
        <v>1045</v>
      </c>
      <c r="F885" s="11">
        <v>4870.8</v>
      </c>
      <c r="G885">
        <f>Meter[[#This Row],[EstimatedLoss_RM]]/0.8</f>
        <v>6088.5</v>
      </c>
      <c r="H885" t="str" cm="1">
        <f t="array" ref="H885">_xlfn.IFS(C885&lt;=5, "0–5 years", C885&lt;=10, "6–10 years", C885&lt;=15, "11–15 years", C885&lt;=20, "16–20 years", TRUE, "21–25 years")</f>
        <v>21–25 years</v>
      </c>
    </row>
    <row r="886" spans="1:8" x14ac:dyDescent="0.3">
      <c r="A886" t="s">
        <v>1677</v>
      </c>
      <c r="B886" t="s">
        <v>49</v>
      </c>
      <c r="C886">
        <v>24</v>
      </c>
      <c r="D886" s="9">
        <v>86.38</v>
      </c>
      <c r="E886" t="s">
        <v>1043</v>
      </c>
      <c r="F886" s="10">
        <v>4884.05</v>
      </c>
      <c r="G886">
        <f>Meter[[#This Row],[EstimatedLoss_RM]]/0.8</f>
        <v>6105.0625</v>
      </c>
      <c r="H886" t="str" cm="1">
        <f t="array" ref="H886">_xlfn.IFS(C886&lt;=5, "0–5 years", C886&lt;=10, "6–10 years", C886&lt;=15, "11–15 years", C886&lt;=20, "16–20 years", TRUE, "21–25 years")</f>
        <v>21–25 years</v>
      </c>
    </row>
    <row r="887" spans="1:8" x14ac:dyDescent="0.3">
      <c r="A887" t="s">
        <v>1214</v>
      </c>
      <c r="B887" t="s">
        <v>52</v>
      </c>
      <c r="C887">
        <v>25</v>
      </c>
      <c r="D887" s="2">
        <v>86.37</v>
      </c>
      <c r="E887" t="s">
        <v>1041</v>
      </c>
      <c r="F887" s="11">
        <v>4894.6899999999996</v>
      </c>
      <c r="G887">
        <f>Meter[[#This Row],[EstimatedLoss_RM]]/0.8</f>
        <v>6118.3624999999993</v>
      </c>
      <c r="H887" t="str" cm="1">
        <f t="array" ref="H887">_xlfn.IFS(C887&lt;=5, "0–5 years", C887&lt;=10, "6–10 years", C887&lt;=15, "11–15 years", C887&lt;=20, "16–20 years", TRUE, "21–25 years")</f>
        <v>21–25 years</v>
      </c>
    </row>
    <row r="888" spans="1:8" x14ac:dyDescent="0.3">
      <c r="A888" t="s">
        <v>1541</v>
      </c>
      <c r="B888" t="s">
        <v>42</v>
      </c>
      <c r="C888">
        <v>25</v>
      </c>
      <c r="D888" s="9">
        <v>86.25</v>
      </c>
      <c r="E888" t="s">
        <v>1041</v>
      </c>
      <c r="F888" s="10">
        <v>4899.9399999999996</v>
      </c>
      <c r="G888">
        <f>Meter[[#This Row],[EstimatedLoss_RM]]/0.8</f>
        <v>6124.9249999999993</v>
      </c>
      <c r="H888" t="str" cm="1">
        <f t="array" ref="H888">_xlfn.IFS(C888&lt;=5, "0–5 years", C888&lt;=10, "6–10 years", C888&lt;=15, "11–15 years", C888&lt;=20, "16–20 years", TRUE, "21–25 years")</f>
        <v>21–25 years</v>
      </c>
    </row>
    <row r="889" spans="1:8" x14ac:dyDescent="0.3">
      <c r="A889" t="s">
        <v>1874</v>
      </c>
      <c r="B889" t="s">
        <v>40</v>
      </c>
      <c r="C889">
        <v>25</v>
      </c>
      <c r="D889" s="2">
        <v>86.16</v>
      </c>
      <c r="E889" t="s">
        <v>1043</v>
      </c>
      <c r="F889" s="11">
        <v>4910.29</v>
      </c>
      <c r="G889">
        <f>Meter[[#This Row],[EstimatedLoss_RM]]/0.8</f>
        <v>6137.8624999999993</v>
      </c>
      <c r="H889" t="str" cm="1">
        <f t="array" ref="H889">_xlfn.IFS(C889&lt;=5, "0–5 years", C889&lt;=10, "6–10 years", C889&lt;=15, "11–15 years", C889&lt;=20, "16–20 years", TRUE, "21–25 years")</f>
        <v>21–25 years</v>
      </c>
    </row>
    <row r="890" spans="1:8" x14ac:dyDescent="0.3">
      <c r="A890" t="s">
        <v>1480</v>
      </c>
      <c r="B890" t="s">
        <v>39</v>
      </c>
      <c r="C890">
        <v>23</v>
      </c>
      <c r="D890" s="9">
        <v>86.04</v>
      </c>
      <c r="E890" t="s">
        <v>1043</v>
      </c>
      <c r="F890" s="10">
        <v>4915.9399999999996</v>
      </c>
      <c r="G890">
        <f>Meter[[#This Row],[EstimatedLoss_RM]]/0.8</f>
        <v>6144.9249999999993</v>
      </c>
      <c r="H890" t="str" cm="1">
        <f t="array" ref="H890">_xlfn.IFS(C890&lt;=5, "0–5 years", C890&lt;=10, "6–10 years", C890&lt;=15, "11–15 years", C890&lt;=20, "16–20 years", TRUE, "21–25 years")</f>
        <v>21–25 years</v>
      </c>
    </row>
    <row r="891" spans="1:8" x14ac:dyDescent="0.3">
      <c r="A891" t="s">
        <v>1560</v>
      </c>
      <c r="B891" t="s">
        <v>40</v>
      </c>
      <c r="C891">
        <v>25</v>
      </c>
      <c r="D891" s="2">
        <v>86.04</v>
      </c>
      <c r="E891" t="s">
        <v>1041</v>
      </c>
      <c r="F891" s="11">
        <v>4911.22</v>
      </c>
      <c r="G891">
        <f>Meter[[#This Row],[EstimatedLoss_RM]]/0.8</f>
        <v>6139.0249999999996</v>
      </c>
      <c r="H891" t="str" cm="1">
        <f t="array" ref="H891">_xlfn.IFS(C891&lt;=5, "0–5 years", C891&lt;=10, "6–10 years", C891&lt;=15, "11–15 years", C891&lt;=20, "16–20 years", TRUE, "21–25 years")</f>
        <v>21–25 years</v>
      </c>
    </row>
    <row r="892" spans="1:8" x14ac:dyDescent="0.3">
      <c r="A892" t="s">
        <v>1398</v>
      </c>
      <c r="B892" t="s">
        <v>42</v>
      </c>
      <c r="C892">
        <v>25</v>
      </c>
      <c r="D892" s="9">
        <v>85.99</v>
      </c>
      <c r="E892" t="s">
        <v>1045</v>
      </c>
      <c r="F892" s="10">
        <v>4926.57</v>
      </c>
      <c r="G892">
        <f>Meter[[#This Row],[EstimatedLoss_RM]]/0.8</f>
        <v>6158.2124999999996</v>
      </c>
      <c r="H892" t="str" cm="1">
        <f t="array" ref="H892">_xlfn.IFS(C892&lt;=5, "0–5 years", C892&lt;=10, "6–10 years", C892&lt;=15, "11–15 years", C892&lt;=20, "16–20 years", TRUE, "21–25 years")</f>
        <v>21–25 years</v>
      </c>
    </row>
    <row r="893" spans="1:8" x14ac:dyDescent="0.3">
      <c r="A893" t="s">
        <v>1117</v>
      </c>
      <c r="B893" t="s">
        <v>44</v>
      </c>
      <c r="C893">
        <v>17</v>
      </c>
      <c r="D893" s="2">
        <v>85.96</v>
      </c>
      <c r="E893" t="s">
        <v>1045</v>
      </c>
      <c r="F893" s="11">
        <v>4932.6000000000004</v>
      </c>
      <c r="G893">
        <f>Meter[[#This Row],[EstimatedLoss_RM]]/0.8</f>
        <v>6165.75</v>
      </c>
      <c r="H893" t="str" cm="1">
        <f t="array" ref="H893">_xlfn.IFS(C893&lt;=5, "0–5 years", C893&lt;=10, "6–10 years", C893&lt;=15, "11–15 years", C893&lt;=20, "16–20 years", TRUE, "21–25 years")</f>
        <v>16–20 years</v>
      </c>
    </row>
    <row r="894" spans="1:8" x14ac:dyDescent="0.3">
      <c r="A894" t="s">
        <v>1066</v>
      </c>
      <c r="B894" t="s">
        <v>49</v>
      </c>
      <c r="C894">
        <v>23</v>
      </c>
      <c r="D894" s="9">
        <v>85.95</v>
      </c>
      <c r="E894" t="s">
        <v>1045</v>
      </c>
      <c r="F894" s="10">
        <v>4977.1899999999996</v>
      </c>
      <c r="G894">
        <f>Meter[[#This Row],[EstimatedLoss_RM]]/0.8</f>
        <v>6221.4874999999993</v>
      </c>
      <c r="H894" t="str" cm="1">
        <f t="array" ref="H894">_xlfn.IFS(C894&lt;=5, "0–5 years", C894&lt;=10, "6–10 years", C894&lt;=15, "11–15 years", C894&lt;=20, "16–20 years", TRUE, "21–25 years")</f>
        <v>21–25 years</v>
      </c>
    </row>
    <row r="895" spans="1:8" x14ac:dyDescent="0.3">
      <c r="A895" t="s">
        <v>1306</v>
      </c>
      <c r="B895" t="s">
        <v>53</v>
      </c>
      <c r="C895">
        <v>25</v>
      </c>
      <c r="D895" s="2">
        <v>85.95</v>
      </c>
      <c r="E895" t="s">
        <v>1045</v>
      </c>
      <c r="F895" s="11">
        <v>4948.34</v>
      </c>
      <c r="G895">
        <f>Meter[[#This Row],[EstimatedLoss_RM]]/0.8</f>
        <v>6185.4250000000002</v>
      </c>
      <c r="H895" t="str" cm="1">
        <f t="array" ref="H895">_xlfn.IFS(C895&lt;=5, "0–5 years", C895&lt;=10, "6–10 years", C895&lt;=15, "11–15 years", C895&lt;=20, "16–20 years", TRUE, "21–25 years")</f>
        <v>21–25 years</v>
      </c>
    </row>
    <row r="896" spans="1:8" x14ac:dyDescent="0.3">
      <c r="A896" t="s">
        <v>1650</v>
      </c>
      <c r="B896" t="s">
        <v>42</v>
      </c>
      <c r="C896">
        <v>24</v>
      </c>
      <c r="D896" s="9">
        <v>85.91</v>
      </c>
      <c r="E896" t="s">
        <v>1045</v>
      </c>
      <c r="F896" s="10">
        <v>4979.82</v>
      </c>
      <c r="G896">
        <f>Meter[[#This Row],[EstimatedLoss_RM]]/0.8</f>
        <v>6224.7749999999996</v>
      </c>
      <c r="H896" t="str" cm="1">
        <f t="array" ref="H896">_xlfn.IFS(C896&lt;=5, "0–5 years", C896&lt;=10, "6–10 years", C896&lt;=15, "11–15 years", C896&lt;=20, "16–20 years", TRUE, "21–25 years")</f>
        <v>21–25 years</v>
      </c>
    </row>
    <row r="897" spans="1:8" x14ac:dyDescent="0.3">
      <c r="A897" t="s">
        <v>1389</v>
      </c>
      <c r="B897" t="s">
        <v>45</v>
      </c>
      <c r="C897">
        <v>23</v>
      </c>
      <c r="D897" s="2">
        <v>85.9</v>
      </c>
      <c r="E897" t="s">
        <v>1041</v>
      </c>
      <c r="F897" s="11">
        <v>4980.72</v>
      </c>
      <c r="G897">
        <f>Meter[[#This Row],[EstimatedLoss_RM]]/0.8</f>
        <v>6225.9</v>
      </c>
      <c r="H897" t="str" cm="1">
        <f t="array" ref="H897">_xlfn.IFS(C897&lt;=5, "0–5 years", C897&lt;=10, "6–10 years", C897&lt;=15, "11–15 years", C897&lt;=20, "16–20 years", TRUE, "21–25 years")</f>
        <v>21–25 years</v>
      </c>
    </row>
    <row r="898" spans="1:8" x14ac:dyDescent="0.3">
      <c r="A898" t="s">
        <v>1514</v>
      </c>
      <c r="B898" t="s">
        <v>39</v>
      </c>
      <c r="C898">
        <v>20</v>
      </c>
      <c r="D898" s="9">
        <v>85.4</v>
      </c>
      <c r="E898" t="s">
        <v>1041</v>
      </c>
      <c r="F898" s="10">
        <v>4983.9399999999996</v>
      </c>
      <c r="G898">
        <f>Meter[[#This Row],[EstimatedLoss_RM]]/0.8</f>
        <v>6229.9249999999993</v>
      </c>
      <c r="H898" t="str" cm="1">
        <f t="array" ref="H898">_xlfn.IFS(C898&lt;=5, "0–5 years", C898&lt;=10, "6–10 years", C898&lt;=15, "11–15 years", C898&lt;=20, "16–20 years", TRUE, "21–25 years")</f>
        <v>16–20 years</v>
      </c>
    </row>
    <row r="899" spans="1:8" x14ac:dyDescent="0.3">
      <c r="A899" t="s">
        <v>1474</v>
      </c>
      <c r="B899" t="s">
        <v>43</v>
      </c>
      <c r="C899">
        <v>22</v>
      </c>
      <c r="D899" s="2">
        <v>85.12</v>
      </c>
      <c r="E899" t="s">
        <v>1043</v>
      </c>
      <c r="F899" s="11">
        <v>4988.5</v>
      </c>
      <c r="G899">
        <f>Meter[[#This Row],[EstimatedLoss_RM]]/0.8</f>
        <v>6235.625</v>
      </c>
      <c r="H899" t="str" cm="1">
        <f t="array" ref="H899">_xlfn.IFS(C899&lt;=5, "0–5 years", C899&lt;=10, "6–10 years", C899&lt;=15, "11–15 years", C899&lt;=20, "16–20 years", TRUE, "21–25 years")</f>
        <v>21–25 years</v>
      </c>
    </row>
    <row r="900" spans="1:8" x14ac:dyDescent="0.3">
      <c r="A900" t="s">
        <v>1057</v>
      </c>
      <c r="B900" t="s">
        <v>52</v>
      </c>
      <c r="C900">
        <v>25</v>
      </c>
      <c r="D900" s="9">
        <v>84.55</v>
      </c>
      <c r="E900" t="s">
        <v>1041</v>
      </c>
      <c r="F900" s="10">
        <v>4988.55</v>
      </c>
      <c r="G900">
        <f>Meter[[#This Row],[EstimatedLoss_RM]]/0.8</f>
        <v>6235.6875</v>
      </c>
      <c r="H900" t="str" cm="1">
        <f t="array" ref="H900">_xlfn.IFS(C900&lt;=5, "0–5 years", C900&lt;=10, "6–10 years", C900&lt;=15, "11–15 years", C900&lt;=20, "16–20 years", TRUE, "21–25 years")</f>
        <v>21–25 years</v>
      </c>
    </row>
    <row r="901" spans="1:8" x14ac:dyDescent="0.3">
      <c r="A901" t="s">
        <v>1122</v>
      </c>
      <c r="B901" t="s">
        <v>44</v>
      </c>
      <c r="C901">
        <v>24</v>
      </c>
      <c r="D901" s="2">
        <v>84.42</v>
      </c>
      <c r="E901" t="s">
        <v>1041</v>
      </c>
      <c r="F901" s="11">
        <v>4991.07</v>
      </c>
      <c r="G901">
        <f>Meter[[#This Row],[EstimatedLoss_RM]]/0.8</f>
        <v>6238.8374999999996</v>
      </c>
      <c r="H901" t="str" cm="1">
        <f t="array" ref="H901">_xlfn.IFS(C901&lt;=5, "0–5 years", C901&lt;=10, "6–10 years", C901&lt;=15, "11–15 years", C901&lt;=20, "16–20 years", TRUE, "21–25 years")</f>
        <v>21–25 years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D413-0C2D-4B96-A114-23ED11729309}">
  <dimension ref="A1:F309"/>
  <sheetViews>
    <sheetView zoomScaleNormal="100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13.44140625" bestFit="1" customWidth="1"/>
    <col min="4" max="4" width="21.33203125" bestFit="1" customWidth="1"/>
    <col min="5" max="5" width="21.33203125" style="21" bestFit="1" customWidth="1"/>
    <col min="6" max="6" width="22.109375" bestFit="1" customWidth="1"/>
  </cols>
  <sheetData>
    <row r="1" spans="1:6" x14ac:dyDescent="0.3">
      <c r="A1" s="1" t="s">
        <v>2884</v>
      </c>
      <c r="B1" s="1" t="s">
        <v>2863</v>
      </c>
      <c r="C1" s="1" t="s">
        <v>2885</v>
      </c>
      <c r="D1" s="54" t="s">
        <v>2883</v>
      </c>
      <c r="E1" s="1" t="s">
        <v>2931</v>
      </c>
      <c r="F1" s="1" t="s">
        <v>2886</v>
      </c>
    </row>
    <row r="2" spans="1:6" x14ac:dyDescent="0.3">
      <c r="A2" t="s">
        <v>2223</v>
      </c>
      <c r="B2" t="s">
        <v>47</v>
      </c>
      <c r="C2" s="7">
        <v>46021</v>
      </c>
      <c r="D2" s="21">
        <v>150804.20104945128</v>
      </c>
      <c r="E2">
        <f>IllegalConnections[[#This Row],[EstimatedLoss_RM]]/0.8</f>
        <v>188505.25131181409</v>
      </c>
      <c r="F2" t="s">
        <v>1944</v>
      </c>
    </row>
    <row r="3" spans="1:6" x14ac:dyDescent="0.3">
      <c r="A3" t="s">
        <v>1970</v>
      </c>
      <c r="B3" t="s">
        <v>47</v>
      </c>
      <c r="C3" s="7">
        <v>46019</v>
      </c>
      <c r="D3" s="21">
        <v>157702.28652661724</v>
      </c>
      <c r="E3">
        <f>IllegalConnections[[#This Row],[EstimatedLoss_RM]]/0.8</f>
        <v>197127.85815827156</v>
      </c>
      <c r="F3" t="s">
        <v>1947</v>
      </c>
    </row>
    <row r="4" spans="1:6" x14ac:dyDescent="0.3">
      <c r="A4" t="s">
        <v>2230</v>
      </c>
      <c r="B4" t="s">
        <v>40</v>
      </c>
      <c r="C4" s="7">
        <v>46019</v>
      </c>
      <c r="D4" s="21">
        <v>57714.756174889742</v>
      </c>
      <c r="E4">
        <f>IllegalConnections[[#This Row],[EstimatedLoss_RM]]/0.8</f>
        <v>72143.445218612178</v>
      </c>
      <c r="F4" t="s">
        <v>1947</v>
      </c>
    </row>
    <row r="5" spans="1:6" x14ac:dyDescent="0.3">
      <c r="A5" t="s">
        <v>2108</v>
      </c>
      <c r="B5" t="s">
        <v>42</v>
      </c>
      <c r="C5" s="7">
        <v>46018</v>
      </c>
      <c r="D5" s="21">
        <v>16887.191031461385</v>
      </c>
      <c r="E5">
        <f>IllegalConnections[[#This Row],[EstimatedLoss_RM]]/0.8</f>
        <v>21108.98878932673</v>
      </c>
      <c r="F5" t="s">
        <v>1949</v>
      </c>
    </row>
    <row r="6" spans="1:6" x14ac:dyDescent="0.3">
      <c r="A6" t="s">
        <v>2121</v>
      </c>
      <c r="B6" t="s">
        <v>38</v>
      </c>
      <c r="C6" s="7">
        <v>46016</v>
      </c>
      <c r="D6" s="21">
        <v>265890.31227395107</v>
      </c>
      <c r="E6">
        <f>IllegalConnections[[#This Row],[EstimatedLoss_RM]]/0.8</f>
        <v>332362.89034243883</v>
      </c>
      <c r="F6" t="s">
        <v>1944</v>
      </c>
    </row>
    <row r="7" spans="1:6" x14ac:dyDescent="0.3">
      <c r="A7" t="s">
        <v>2136</v>
      </c>
      <c r="B7" t="s">
        <v>53</v>
      </c>
      <c r="C7" s="7">
        <v>46016</v>
      </c>
      <c r="D7" s="21">
        <v>77542.379125876818</v>
      </c>
      <c r="E7">
        <f>IllegalConnections[[#This Row],[EstimatedLoss_RM]]/0.8</f>
        <v>96927.973907346022</v>
      </c>
      <c r="F7" t="s">
        <v>1949</v>
      </c>
    </row>
    <row r="8" spans="1:6" x14ac:dyDescent="0.3">
      <c r="A8" t="s">
        <v>2090</v>
      </c>
      <c r="B8" t="s">
        <v>40</v>
      </c>
      <c r="C8" s="7">
        <v>46014</v>
      </c>
      <c r="D8" s="21">
        <v>300492.65590395289</v>
      </c>
      <c r="E8">
        <f>IllegalConnections[[#This Row],[EstimatedLoss_RM]]/0.8</f>
        <v>375615.81987994112</v>
      </c>
      <c r="F8" t="s">
        <v>1944</v>
      </c>
    </row>
    <row r="9" spans="1:6" x14ac:dyDescent="0.3">
      <c r="A9" t="s">
        <v>2152</v>
      </c>
      <c r="B9" t="s">
        <v>38</v>
      </c>
      <c r="C9" s="7">
        <v>46013</v>
      </c>
      <c r="D9" s="21">
        <v>341563.8677669887</v>
      </c>
      <c r="E9">
        <f>IllegalConnections[[#This Row],[EstimatedLoss_RM]]/0.8</f>
        <v>426954.83470873587</v>
      </c>
      <c r="F9" t="s">
        <v>1949</v>
      </c>
    </row>
    <row r="10" spans="1:6" x14ac:dyDescent="0.3">
      <c r="A10" t="s">
        <v>2222</v>
      </c>
      <c r="B10" t="s">
        <v>43</v>
      </c>
      <c r="C10" s="7">
        <v>46013</v>
      </c>
      <c r="D10" s="21">
        <v>154360.51393659954</v>
      </c>
      <c r="E10">
        <f>IllegalConnections[[#This Row],[EstimatedLoss_RM]]/0.8</f>
        <v>192950.64242074941</v>
      </c>
      <c r="F10" t="s">
        <v>1949</v>
      </c>
    </row>
    <row r="11" spans="1:6" x14ac:dyDescent="0.3">
      <c r="A11" t="s">
        <v>1943</v>
      </c>
      <c r="B11" t="s">
        <v>50</v>
      </c>
      <c r="C11" s="7">
        <v>46012</v>
      </c>
      <c r="D11" s="21">
        <v>202209.28609077007</v>
      </c>
      <c r="E11">
        <f>IllegalConnections[[#This Row],[EstimatedLoss_RM]]/0.8</f>
        <v>252761.60761346258</v>
      </c>
      <c r="F11" t="s">
        <v>1944</v>
      </c>
    </row>
    <row r="12" spans="1:6" x14ac:dyDescent="0.3">
      <c r="A12" t="s">
        <v>1995</v>
      </c>
      <c r="B12" t="s">
        <v>39</v>
      </c>
      <c r="C12" s="7">
        <v>46009</v>
      </c>
      <c r="D12" s="21">
        <v>170198.9172097953</v>
      </c>
      <c r="E12">
        <f>IllegalConnections[[#This Row],[EstimatedLoss_RM]]/0.8</f>
        <v>212748.6465122441</v>
      </c>
      <c r="F12" t="s">
        <v>1949</v>
      </c>
    </row>
    <row r="13" spans="1:6" x14ac:dyDescent="0.3">
      <c r="A13" t="s">
        <v>2209</v>
      </c>
      <c r="B13" t="s">
        <v>46</v>
      </c>
      <c r="C13" s="7">
        <v>46008</v>
      </c>
      <c r="D13" s="21">
        <v>102400.9037196401</v>
      </c>
      <c r="E13">
        <f>IllegalConnections[[#This Row],[EstimatedLoss_RM]]/0.8</f>
        <v>128001.12964955013</v>
      </c>
      <c r="F13" t="s">
        <v>1947</v>
      </c>
    </row>
    <row r="14" spans="1:6" x14ac:dyDescent="0.3">
      <c r="A14" t="s">
        <v>1954</v>
      </c>
      <c r="B14" t="s">
        <v>38</v>
      </c>
      <c r="C14" s="7">
        <v>46007</v>
      </c>
      <c r="D14" s="21">
        <v>259885.23370235722</v>
      </c>
      <c r="E14">
        <f>IllegalConnections[[#This Row],[EstimatedLoss_RM]]/0.8</f>
        <v>324856.54212794651</v>
      </c>
      <c r="F14" t="s">
        <v>1947</v>
      </c>
    </row>
    <row r="15" spans="1:6" x14ac:dyDescent="0.3">
      <c r="A15" t="s">
        <v>1960</v>
      </c>
      <c r="B15" t="s">
        <v>42</v>
      </c>
      <c r="C15" s="7">
        <v>46005</v>
      </c>
      <c r="D15" s="21">
        <v>307859.7237376488</v>
      </c>
      <c r="E15">
        <f>IllegalConnections[[#This Row],[EstimatedLoss_RM]]/0.8</f>
        <v>384824.65467206098</v>
      </c>
      <c r="F15" t="s">
        <v>1947</v>
      </c>
    </row>
    <row r="16" spans="1:6" x14ac:dyDescent="0.3">
      <c r="A16" t="s">
        <v>2039</v>
      </c>
      <c r="B16" t="s">
        <v>41</v>
      </c>
      <c r="C16" s="7">
        <v>46002</v>
      </c>
      <c r="D16" s="21">
        <v>109759.49926134748</v>
      </c>
      <c r="E16">
        <f>IllegalConnections[[#This Row],[EstimatedLoss_RM]]/0.8</f>
        <v>137199.37407668433</v>
      </c>
      <c r="F16" t="s">
        <v>1949</v>
      </c>
    </row>
    <row r="17" spans="1:6" x14ac:dyDescent="0.3">
      <c r="A17" t="s">
        <v>1982</v>
      </c>
      <c r="B17" t="s">
        <v>48</v>
      </c>
      <c r="C17" s="7">
        <v>46001</v>
      </c>
      <c r="D17" s="21">
        <v>258000.69533437787</v>
      </c>
      <c r="E17">
        <f>IllegalConnections[[#This Row],[EstimatedLoss_RM]]/0.8</f>
        <v>322500.8691679723</v>
      </c>
      <c r="F17" t="s">
        <v>1947</v>
      </c>
    </row>
    <row r="18" spans="1:6" x14ac:dyDescent="0.3">
      <c r="A18" t="s">
        <v>2249</v>
      </c>
      <c r="B18" t="s">
        <v>45</v>
      </c>
      <c r="C18" s="7">
        <v>46001</v>
      </c>
      <c r="D18" s="21">
        <v>61565.27623383551</v>
      </c>
      <c r="E18">
        <f>IllegalConnections[[#This Row],[EstimatedLoss_RM]]/0.8</f>
        <v>76956.595292294383</v>
      </c>
      <c r="F18" t="s">
        <v>1947</v>
      </c>
    </row>
    <row r="19" spans="1:6" x14ac:dyDescent="0.3">
      <c r="A19" t="s">
        <v>2066</v>
      </c>
      <c r="B19" t="s">
        <v>41</v>
      </c>
      <c r="C19" s="7">
        <v>45998</v>
      </c>
      <c r="D19" s="21">
        <v>282153.42334554286</v>
      </c>
      <c r="E19">
        <f>IllegalConnections[[#This Row],[EstimatedLoss_RM]]/0.8</f>
        <v>352691.77918192855</v>
      </c>
      <c r="F19" t="s">
        <v>1947</v>
      </c>
    </row>
    <row r="20" spans="1:6" x14ac:dyDescent="0.3">
      <c r="A20" t="s">
        <v>2071</v>
      </c>
      <c r="B20" t="s">
        <v>39</v>
      </c>
      <c r="C20" s="7">
        <v>45998</v>
      </c>
      <c r="D20" s="21">
        <v>291368.9539813312</v>
      </c>
      <c r="E20">
        <f>IllegalConnections[[#This Row],[EstimatedLoss_RM]]/0.8</f>
        <v>364211.19247666397</v>
      </c>
      <c r="F20" t="s">
        <v>1947</v>
      </c>
    </row>
    <row r="21" spans="1:6" x14ac:dyDescent="0.3">
      <c r="A21" t="s">
        <v>2030</v>
      </c>
      <c r="B21" t="s">
        <v>53</v>
      </c>
      <c r="C21" s="7">
        <v>45995</v>
      </c>
      <c r="D21" s="21">
        <v>9057.7000350330691</v>
      </c>
      <c r="E21">
        <f>IllegalConnections[[#This Row],[EstimatedLoss_RM]]/0.8</f>
        <v>11322.125043791335</v>
      </c>
      <c r="F21" t="s">
        <v>1947</v>
      </c>
    </row>
    <row r="22" spans="1:6" x14ac:dyDescent="0.3">
      <c r="A22" t="s">
        <v>1966</v>
      </c>
      <c r="B22" t="s">
        <v>38</v>
      </c>
      <c r="C22" s="7">
        <v>45986</v>
      </c>
      <c r="D22" s="21">
        <v>291157.41998135787</v>
      </c>
      <c r="E22">
        <f>IllegalConnections[[#This Row],[EstimatedLoss_RM]]/0.8</f>
        <v>363946.77497669734</v>
      </c>
      <c r="F22" t="s">
        <v>1944</v>
      </c>
    </row>
    <row r="23" spans="1:6" x14ac:dyDescent="0.3">
      <c r="A23" t="s">
        <v>2060</v>
      </c>
      <c r="B23" t="s">
        <v>47</v>
      </c>
      <c r="C23" s="7">
        <v>45982</v>
      </c>
      <c r="D23" s="21">
        <v>296124.50613447808</v>
      </c>
      <c r="E23">
        <f>IllegalConnections[[#This Row],[EstimatedLoss_RM]]/0.8</f>
        <v>370155.63266809756</v>
      </c>
      <c r="F23" t="s">
        <v>1949</v>
      </c>
    </row>
    <row r="24" spans="1:6" x14ac:dyDescent="0.3">
      <c r="A24" t="s">
        <v>2208</v>
      </c>
      <c r="B24" t="s">
        <v>42</v>
      </c>
      <c r="C24" s="7">
        <v>45979</v>
      </c>
      <c r="D24" s="21">
        <v>46067.40443863297</v>
      </c>
      <c r="E24">
        <f>IllegalConnections[[#This Row],[EstimatedLoss_RM]]/0.8</f>
        <v>57584.255548291207</v>
      </c>
      <c r="F24" t="s">
        <v>1944</v>
      </c>
    </row>
    <row r="25" spans="1:6" x14ac:dyDescent="0.3">
      <c r="A25" t="s">
        <v>2005</v>
      </c>
      <c r="B25" t="s">
        <v>52</v>
      </c>
      <c r="C25" s="7">
        <v>45979</v>
      </c>
      <c r="D25" s="21">
        <v>89548.846722553397</v>
      </c>
      <c r="E25">
        <f>IllegalConnections[[#This Row],[EstimatedLoss_RM]]/0.8</f>
        <v>111936.05840319174</v>
      </c>
      <c r="F25" t="s">
        <v>1949</v>
      </c>
    </row>
    <row r="26" spans="1:6" x14ac:dyDescent="0.3">
      <c r="A26" t="s">
        <v>1993</v>
      </c>
      <c r="B26" t="s">
        <v>38</v>
      </c>
      <c r="C26" s="7">
        <v>45978</v>
      </c>
      <c r="D26" s="21">
        <v>282539.45923050708</v>
      </c>
      <c r="E26">
        <f>IllegalConnections[[#This Row],[EstimatedLoss_RM]]/0.8</f>
        <v>353174.32403813384</v>
      </c>
      <c r="F26" t="s">
        <v>1949</v>
      </c>
    </row>
    <row r="27" spans="1:6" x14ac:dyDescent="0.3">
      <c r="A27" t="s">
        <v>2003</v>
      </c>
      <c r="B27" t="s">
        <v>38</v>
      </c>
      <c r="C27" s="7">
        <v>45977</v>
      </c>
      <c r="D27" s="21">
        <v>187441.12460555296</v>
      </c>
      <c r="E27">
        <f>IllegalConnections[[#This Row],[EstimatedLoss_RM]]/0.8</f>
        <v>234301.40575694118</v>
      </c>
      <c r="F27" t="s">
        <v>1949</v>
      </c>
    </row>
    <row r="28" spans="1:6" x14ac:dyDescent="0.3">
      <c r="A28" t="s">
        <v>1964</v>
      </c>
      <c r="B28" t="s">
        <v>43</v>
      </c>
      <c r="C28" s="7">
        <v>45976</v>
      </c>
      <c r="D28" s="21">
        <v>189918.4501129924</v>
      </c>
      <c r="E28">
        <f>IllegalConnections[[#This Row],[EstimatedLoss_RM]]/0.8</f>
        <v>237398.06264124048</v>
      </c>
      <c r="F28" t="s">
        <v>1947</v>
      </c>
    </row>
    <row r="29" spans="1:6" x14ac:dyDescent="0.3">
      <c r="A29" t="s">
        <v>2213</v>
      </c>
      <c r="B29" t="s">
        <v>44</v>
      </c>
      <c r="C29" s="7">
        <v>45975</v>
      </c>
      <c r="D29" s="21">
        <v>227934.85411465651</v>
      </c>
      <c r="E29">
        <f>IllegalConnections[[#This Row],[EstimatedLoss_RM]]/0.8</f>
        <v>284918.5676433206</v>
      </c>
      <c r="F29" t="s">
        <v>1944</v>
      </c>
    </row>
    <row r="30" spans="1:6" x14ac:dyDescent="0.3">
      <c r="A30" t="s">
        <v>1980</v>
      </c>
      <c r="B30" t="s">
        <v>39</v>
      </c>
      <c r="C30" s="7">
        <v>45974</v>
      </c>
      <c r="D30" s="21">
        <v>227151.98700493615</v>
      </c>
      <c r="E30">
        <f>IllegalConnections[[#This Row],[EstimatedLoss_RM]]/0.8</f>
        <v>283939.98375617014</v>
      </c>
      <c r="F30" t="s">
        <v>1949</v>
      </c>
    </row>
    <row r="31" spans="1:6" x14ac:dyDescent="0.3">
      <c r="A31" t="s">
        <v>2138</v>
      </c>
      <c r="B31" t="s">
        <v>41</v>
      </c>
      <c r="C31" s="7">
        <v>45974</v>
      </c>
      <c r="D31" s="21">
        <v>258680.66509139806</v>
      </c>
      <c r="E31">
        <f>IllegalConnections[[#This Row],[EstimatedLoss_RM]]/0.8</f>
        <v>323350.83136424754</v>
      </c>
      <c r="F31" t="s">
        <v>1949</v>
      </c>
    </row>
    <row r="32" spans="1:6" x14ac:dyDescent="0.3">
      <c r="A32" t="s">
        <v>1972</v>
      </c>
      <c r="B32" t="s">
        <v>39</v>
      </c>
      <c r="C32" s="7">
        <v>45973</v>
      </c>
      <c r="D32" s="21">
        <v>29657.53140581938</v>
      </c>
      <c r="E32">
        <f>IllegalConnections[[#This Row],[EstimatedLoss_RM]]/0.8</f>
        <v>37071.91425727422</v>
      </c>
      <c r="F32" t="s">
        <v>1949</v>
      </c>
    </row>
    <row r="33" spans="1:6" x14ac:dyDescent="0.3">
      <c r="A33" t="s">
        <v>1952</v>
      </c>
      <c r="B33" t="s">
        <v>39</v>
      </c>
      <c r="C33" s="7">
        <v>45972</v>
      </c>
      <c r="D33" s="21">
        <v>336264.99572760548</v>
      </c>
      <c r="E33">
        <f>IllegalConnections[[#This Row],[EstimatedLoss_RM]]/0.8</f>
        <v>420331.24465950683</v>
      </c>
      <c r="F33" t="s">
        <v>1949</v>
      </c>
    </row>
    <row r="34" spans="1:6" x14ac:dyDescent="0.3">
      <c r="A34" t="s">
        <v>2002</v>
      </c>
      <c r="B34" t="s">
        <v>47</v>
      </c>
      <c r="C34" s="7">
        <v>45972</v>
      </c>
      <c r="D34" s="21">
        <v>217296.38837439651</v>
      </c>
      <c r="E34">
        <f>IllegalConnections[[#This Row],[EstimatedLoss_RM]]/0.8</f>
        <v>271620.48546799563</v>
      </c>
      <c r="F34" t="s">
        <v>1947</v>
      </c>
    </row>
    <row r="35" spans="1:6" x14ac:dyDescent="0.3">
      <c r="A35" t="s">
        <v>2008</v>
      </c>
      <c r="B35" t="s">
        <v>52</v>
      </c>
      <c r="C35" s="7">
        <v>45972</v>
      </c>
      <c r="D35" s="21">
        <v>91834.999060766291</v>
      </c>
      <c r="E35">
        <f>IllegalConnections[[#This Row],[EstimatedLoss_RM]]/0.8</f>
        <v>114793.74882595785</v>
      </c>
      <c r="F35" t="s">
        <v>1947</v>
      </c>
    </row>
    <row r="36" spans="1:6" x14ac:dyDescent="0.3">
      <c r="A36" t="s">
        <v>2049</v>
      </c>
      <c r="B36" t="s">
        <v>46</v>
      </c>
      <c r="C36" s="7">
        <v>45963</v>
      </c>
      <c r="D36" s="21">
        <v>328984.97386159882</v>
      </c>
      <c r="E36">
        <f>IllegalConnections[[#This Row],[EstimatedLoss_RM]]/0.8</f>
        <v>411231.21732699848</v>
      </c>
      <c r="F36" t="s">
        <v>1949</v>
      </c>
    </row>
    <row r="37" spans="1:6" x14ac:dyDescent="0.3">
      <c r="A37" t="s">
        <v>2094</v>
      </c>
      <c r="B37" t="s">
        <v>38</v>
      </c>
      <c r="C37" s="7">
        <v>45963</v>
      </c>
      <c r="D37" s="21">
        <v>88776.501652883395</v>
      </c>
      <c r="E37">
        <f>IllegalConnections[[#This Row],[EstimatedLoss_RM]]/0.8</f>
        <v>110970.62706610424</v>
      </c>
      <c r="F37" t="s">
        <v>1949</v>
      </c>
    </row>
    <row r="38" spans="1:6" x14ac:dyDescent="0.3">
      <c r="A38" t="s">
        <v>2113</v>
      </c>
      <c r="B38" t="s">
        <v>43</v>
      </c>
      <c r="C38" s="7">
        <v>45962</v>
      </c>
      <c r="D38" s="21">
        <v>6792.181827308531</v>
      </c>
      <c r="E38">
        <f>IllegalConnections[[#This Row],[EstimatedLoss_RM]]/0.8</f>
        <v>8490.2272841356626</v>
      </c>
      <c r="F38" t="s">
        <v>1944</v>
      </c>
    </row>
    <row r="39" spans="1:6" x14ac:dyDescent="0.3">
      <c r="A39" t="s">
        <v>2028</v>
      </c>
      <c r="B39" t="s">
        <v>43</v>
      </c>
      <c r="C39" s="7">
        <v>45959</v>
      </c>
      <c r="D39" s="21">
        <v>93194.665275065054</v>
      </c>
      <c r="E39">
        <f>IllegalConnections[[#This Row],[EstimatedLoss_RM]]/0.8</f>
        <v>116493.33159383132</v>
      </c>
      <c r="F39" t="s">
        <v>1947</v>
      </c>
    </row>
    <row r="40" spans="1:6" x14ac:dyDescent="0.3">
      <c r="A40" t="s">
        <v>2167</v>
      </c>
      <c r="B40" t="s">
        <v>45</v>
      </c>
      <c r="C40" s="7">
        <v>45953</v>
      </c>
      <c r="D40" s="21">
        <v>236969.46032152715</v>
      </c>
      <c r="E40">
        <f>IllegalConnections[[#This Row],[EstimatedLoss_RM]]/0.8</f>
        <v>296211.82540190889</v>
      </c>
      <c r="F40" t="s">
        <v>1949</v>
      </c>
    </row>
    <row r="41" spans="1:6" x14ac:dyDescent="0.3">
      <c r="A41" t="s">
        <v>2212</v>
      </c>
      <c r="B41" t="s">
        <v>41</v>
      </c>
      <c r="C41" s="7">
        <v>45948</v>
      </c>
      <c r="D41" s="21">
        <v>202847.03103771806</v>
      </c>
      <c r="E41">
        <f>IllegalConnections[[#This Row],[EstimatedLoss_RM]]/0.8</f>
        <v>253558.78879714757</v>
      </c>
      <c r="F41" t="s">
        <v>1949</v>
      </c>
    </row>
    <row r="42" spans="1:6" x14ac:dyDescent="0.3">
      <c r="A42" t="s">
        <v>2170</v>
      </c>
      <c r="B42" t="s">
        <v>45</v>
      </c>
      <c r="C42" s="7">
        <v>45947</v>
      </c>
      <c r="D42" s="21">
        <v>169014.84607945371</v>
      </c>
      <c r="E42">
        <f>IllegalConnections[[#This Row],[EstimatedLoss_RM]]/0.8</f>
        <v>211268.55759931714</v>
      </c>
      <c r="F42" t="s">
        <v>1949</v>
      </c>
    </row>
    <row r="43" spans="1:6" x14ac:dyDescent="0.3">
      <c r="A43" t="s">
        <v>2253</v>
      </c>
      <c r="B43" t="s">
        <v>43</v>
      </c>
      <c r="C43" s="7">
        <v>45942</v>
      </c>
      <c r="D43" s="21">
        <v>255211.26152206829</v>
      </c>
      <c r="E43">
        <f>IllegalConnections[[#This Row],[EstimatedLoss_RM]]/0.8</f>
        <v>319014.07690258534</v>
      </c>
      <c r="F43" t="s">
        <v>1949</v>
      </c>
    </row>
    <row r="44" spans="1:6" x14ac:dyDescent="0.3">
      <c r="A44" t="s">
        <v>2065</v>
      </c>
      <c r="B44" t="s">
        <v>44</v>
      </c>
      <c r="C44" s="7">
        <v>45940</v>
      </c>
      <c r="D44" s="21">
        <v>224266.76163320709</v>
      </c>
      <c r="E44">
        <f>IllegalConnections[[#This Row],[EstimatedLoss_RM]]/0.8</f>
        <v>280333.45204150886</v>
      </c>
      <c r="F44" t="s">
        <v>1944</v>
      </c>
    </row>
    <row r="45" spans="1:6" x14ac:dyDescent="0.3">
      <c r="A45" t="s">
        <v>1976</v>
      </c>
      <c r="B45" t="s">
        <v>52</v>
      </c>
      <c r="C45" s="7">
        <v>45938</v>
      </c>
      <c r="D45" s="21">
        <v>249393.80322306056</v>
      </c>
      <c r="E45">
        <f>IllegalConnections[[#This Row],[EstimatedLoss_RM]]/0.8</f>
        <v>311742.25402882567</v>
      </c>
      <c r="F45" t="s">
        <v>1949</v>
      </c>
    </row>
    <row r="46" spans="1:6" x14ac:dyDescent="0.3">
      <c r="A46" t="s">
        <v>2201</v>
      </c>
      <c r="B46" t="s">
        <v>52</v>
      </c>
      <c r="C46" s="7">
        <v>45937</v>
      </c>
      <c r="D46" s="21">
        <v>194571.92481266375</v>
      </c>
      <c r="E46">
        <f>IllegalConnections[[#This Row],[EstimatedLoss_RM]]/0.8</f>
        <v>243214.90601582968</v>
      </c>
      <c r="F46" t="s">
        <v>1949</v>
      </c>
    </row>
    <row r="47" spans="1:6" x14ac:dyDescent="0.3">
      <c r="A47" t="s">
        <v>1999</v>
      </c>
      <c r="B47" t="s">
        <v>45</v>
      </c>
      <c r="C47" s="7">
        <v>45936</v>
      </c>
      <c r="D47" s="21">
        <v>119339.88505212856</v>
      </c>
      <c r="E47">
        <f>IllegalConnections[[#This Row],[EstimatedLoss_RM]]/0.8</f>
        <v>149174.85631516069</v>
      </c>
      <c r="F47" t="s">
        <v>1944</v>
      </c>
    </row>
    <row r="48" spans="1:6" x14ac:dyDescent="0.3">
      <c r="A48" t="s">
        <v>2148</v>
      </c>
      <c r="B48" t="s">
        <v>52</v>
      </c>
      <c r="C48" s="7">
        <v>45928</v>
      </c>
      <c r="D48" s="21">
        <v>302405.20749544288</v>
      </c>
      <c r="E48">
        <f>IllegalConnections[[#This Row],[EstimatedLoss_RM]]/0.8</f>
        <v>378006.50936930359</v>
      </c>
      <c r="F48" t="s">
        <v>1944</v>
      </c>
    </row>
    <row r="49" spans="1:6" x14ac:dyDescent="0.3">
      <c r="A49" t="s">
        <v>2252</v>
      </c>
      <c r="B49" t="s">
        <v>39</v>
      </c>
      <c r="C49" s="7">
        <v>45928</v>
      </c>
      <c r="D49" s="21">
        <v>60117.74415262277</v>
      </c>
      <c r="E49">
        <f>IllegalConnections[[#This Row],[EstimatedLoss_RM]]/0.8</f>
        <v>75147.180190778454</v>
      </c>
      <c r="F49" t="s">
        <v>1949</v>
      </c>
    </row>
    <row r="50" spans="1:6" x14ac:dyDescent="0.3">
      <c r="A50" t="s">
        <v>2056</v>
      </c>
      <c r="B50" t="s">
        <v>49</v>
      </c>
      <c r="C50" s="7">
        <v>45926</v>
      </c>
      <c r="D50" s="21">
        <v>78741.75504174619</v>
      </c>
      <c r="E50">
        <f>IllegalConnections[[#This Row],[EstimatedLoss_RM]]/0.8</f>
        <v>98427.193802182737</v>
      </c>
      <c r="F50" t="s">
        <v>1944</v>
      </c>
    </row>
    <row r="51" spans="1:6" x14ac:dyDescent="0.3">
      <c r="A51" t="s">
        <v>2141</v>
      </c>
      <c r="B51" t="s">
        <v>52</v>
      </c>
      <c r="C51" s="7">
        <v>45925</v>
      </c>
      <c r="D51" s="21">
        <v>155354.64174655164</v>
      </c>
      <c r="E51">
        <f>IllegalConnections[[#This Row],[EstimatedLoss_RM]]/0.8</f>
        <v>194193.30218318955</v>
      </c>
      <c r="F51" t="s">
        <v>1944</v>
      </c>
    </row>
    <row r="52" spans="1:6" x14ac:dyDescent="0.3">
      <c r="A52" t="s">
        <v>2188</v>
      </c>
      <c r="B52" t="s">
        <v>47</v>
      </c>
      <c r="C52" s="7">
        <v>45925</v>
      </c>
      <c r="D52" s="21">
        <v>60389.130795999394</v>
      </c>
      <c r="E52">
        <f>IllegalConnections[[#This Row],[EstimatedLoss_RM]]/0.8</f>
        <v>75486.413494999244</v>
      </c>
      <c r="F52" t="s">
        <v>1949</v>
      </c>
    </row>
    <row r="53" spans="1:6" x14ac:dyDescent="0.3">
      <c r="A53" t="s">
        <v>2011</v>
      </c>
      <c r="B53" t="s">
        <v>44</v>
      </c>
      <c r="C53" s="7">
        <v>45923</v>
      </c>
      <c r="D53" s="21">
        <v>154315.00952962853</v>
      </c>
      <c r="E53">
        <f>IllegalConnections[[#This Row],[EstimatedLoss_RM]]/0.8</f>
        <v>192893.76191203564</v>
      </c>
      <c r="F53" t="s">
        <v>1949</v>
      </c>
    </row>
    <row r="54" spans="1:6" x14ac:dyDescent="0.3">
      <c r="A54" t="s">
        <v>2235</v>
      </c>
      <c r="B54" t="s">
        <v>50</v>
      </c>
      <c r="C54" s="7">
        <v>45918</v>
      </c>
      <c r="D54" s="21">
        <v>46427.476848148275</v>
      </c>
      <c r="E54">
        <f>IllegalConnections[[#This Row],[EstimatedLoss_RM]]/0.8</f>
        <v>58034.346060185344</v>
      </c>
      <c r="F54" t="s">
        <v>1949</v>
      </c>
    </row>
    <row r="55" spans="1:6" x14ac:dyDescent="0.3">
      <c r="A55" t="s">
        <v>2004</v>
      </c>
      <c r="B55" t="s">
        <v>38</v>
      </c>
      <c r="C55" s="7">
        <v>45915</v>
      </c>
      <c r="D55" s="21">
        <v>144172.30952057213</v>
      </c>
      <c r="E55">
        <f>IllegalConnections[[#This Row],[EstimatedLoss_RM]]/0.8</f>
        <v>180215.38690071515</v>
      </c>
      <c r="F55" t="s">
        <v>1947</v>
      </c>
    </row>
    <row r="56" spans="1:6" x14ac:dyDescent="0.3">
      <c r="A56" t="s">
        <v>2032</v>
      </c>
      <c r="B56" t="s">
        <v>40</v>
      </c>
      <c r="C56" s="7">
        <v>45914</v>
      </c>
      <c r="D56" s="21">
        <v>228459.86291820789</v>
      </c>
      <c r="E56">
        <f>IllegalConnections[[#This Row],[EstimatedLoss_RM]]/0.8</f>
        <v>285574.82864775986</v>
      </c>
      <c r="F56" t="s">
        <v>1949</v>
      </c>
    </row>
    <row r="57" spans="1:6" x14ac:dyDescent="0.3">
      <c r="A57" t="s">
        <v>2089</v>
      </c>
      <c r="B57" t="s">
        <v>39</v>
      </c>
      <c r="C57" s="7">
        <v>45913</v>
      </c>
      <c r="D57" s="21">
        <v>10720.319012859502</v>
      </c>
      <c r="E57">
        <f>IllegalConnections[[#This Row],[EstimatedLoss_RM]]/0.8</f>
        <v>13400.398766074377</v>
      </c>
      <c r="F57" t="s">
        <v>1949</v>
      </c>
    </row>
    <row r="58" spans="1:6" x14ac:dyDescent="0.3">
      <c r="A58" t="s">
        <v>1953</v>
      </c>
      <c r="B58" t="s">
        <v>53</v>
      </c>
      <c r="C58" s="7">
        <v>45909</v>
      </c>
      <c r="D58" s="21">
        <v>312770.23684426449</v>
      </c>
      <c r="E58">
        <f>IllegalConnections[[#This Row],[EstimatedLoss_RM]]/0.8</f>
        <v>390962.7960553306</v>
      </c>
      <c r="F58" t="s">
        <v>1949</v>
      </c>
    </row>
    <row r="59" spans="1:6" x14ac:dyDescent="0.3">
      <c r="A59" t="s">
        <v>2033</v>
      </c>
      <c r="B59" t="s">
        <v>50</v>
      </c>
      <c r="C59" s="7">
        <v>45905</v>
      </c>
      <c r="D59" s="21">
        <v>339368.04099336395</v>
      </c>
      <c r="E59">
        <f>IllegalConnections[[#This Row],[EstimatedLoss_RM]]/0.8</f>
        <v>424210.0512417049</v>
      </c>
      <c r="F59" t="s">
        <v>1944</v>
      </c>
    </row>
    <row r="60" spans="1:6" x14ac:dyDescent="0.3">
      <c r="A60" t="s">
        <v>2045</v>
      </c>
      <c r="B60" t="s">
        <v>38</v>
      </c>
      <c r="C60" s="7">
        <v>45905</v>
      </c>
      <c r="D60" s="21">
        <v>103512.55041846629</v>
      </c>
      <c r="E60">
        <f>IllegalConnections[[#This Row],[EstimatedLoss_RM]]/0.8</f>
        <v>129390.68802308285</v>
      </c>
      <c r="F60" t="s">
        <v>1944</v>
      </c>
    </row>
    <row r="61" spans="1:6" x14ac:dyDescent="0.3">
      <c r="A61" t="s">
        <v>2140</v>
      </c>
      <c r="B61" t="s">
        <v>43</v>
      </c>
      <c r="C61" s="7">
        <v>45903</v>
      </c>
      <c r="D61" s="21">
        <v>333097.86167244945</v>
      </c>
      <c r="E61">
        <f>IllegalConnections[[#This Row],[EstimatedLoss_RM]]/0.8</f>
        <v>416372.3270905618</v>
      </c>
      <c r="F61" t="s">
        <v>1949</v>
      </c>
    </row>
    <row r="62" spans="1:6" x14ac:dyDescent="0.3">
      <c r="A62" t="s">
        <v>2216</v>
      </c>
      <c r="B62" t="s">
        <v>48</v>
      </c>
      <c r="C62" s="7">
        <v>45901</v>
      </c>
      <c r="D62" s="21">
        <v>237369.4344933113</v>
      </c>
      <c r="E62">
        <f>IllegalConnections[[#This Row],[EstimatedLoss_RM]]/0.8</f>
        <v>296711.79311663914</v>
      </c>
      <c r="F62" t="s">
        <v>1949</v>
      </c>
    </row>
    <row r="63" spans="1:6" x14ac:dyDescent="0.3">
      <c r="A63" t="s">
        <v>2111</v>
      </c>
      <c r="B63" t="s">
        <v>38</v>
      </c>
      <c r="C63" s="7">
        <v>45898</v>
      </c>
      <c r="D63" s="21">
        <v>35986.333521300061</v>
      </c>
      <c r="E63">
        <f>IllegalConnections[[#This Row],[EstimatedLoss_RM]]/0.8</f>
        <v>44982.916901625074</v>
      </c>
      <c r="F63" t="s">
        <v>1949</v>
      </c>
    </row>
    <row r="64" spans="1:6" x14ac:dyDescent="0.3">
      <c r="A64" t="s">
        <v>2154</v>
      </c>
      <c r="B64" t="s">
        <v>50</v>
      </c>
      <c r="C64" s="7">
        <v>45898</v>
      </c>
      <c r="D64" s="21">
        <v>310209.82821538852</v>
      </c>
      <c r="E64">
        <f>IllegalConnections[[#This Row],[EstimatedLoss_RM]]/0.8</f>
        <v>387762.28526923561</v>
      </c>
      <c r="F64" t="s">
        <v>1949</v>
      </c>
    </row>
    <row r="65" spans="1:6" x14ac:dyDescent="0.3">
      <c r="A65" t="s">
        <v>2211</v>
      </c>
      <c r="B65" t="s">
        <v>41</v>
      </c>
      <c r="C65" s="7">
        <v>45895</v>
      </c>
      <c r="D65" s="21">
        <v>12685.617454472042</v>
      </c>
      <c r="E65">
        <f>IllegalConnections[[#This Row],[EstimatedLoss_RM]]/0.8</f>
        <v>15857.021818090052</v>
      </c>
      <c r="F65" t="s">
        <v>1947</v>
      </c>
    </row>
    <row r="66" spans="1:6" x14ac:dyDescent="0.3">
      <c r="A66" t="s">
        <v>2137</v>
      </c>
      <c r="B66" t="s">
        <v>47</v>
      </c>
      <c r="C66" s="7">
        <v>45892</v>
      </c>
      <c r="D66" s="21">
        <v>148777.00021637365</v>
      </c>
      <c r="E66">
        <f>IllegalConnections[[#This Row],[EstimatedLoss_RM]]/0.8</f>
        <v>185971.25027046705</v>
      </c>
      <c r="F66" t="s">
        <v>1947</v>
      </c>
    </row>
    <row r="67" spans="1:6" x14ac:dyDescent="0.3">
      <c r="A67" t="s">
        <v>2194</v>
      </c>
      <c r="B67" t="s">
        <v>52</v>
      </c>
      <c r="C67" s="7">
        <v>45890</v>
      </c>
      <c r="D67" s="21">
        <v>207020.31809145515</v>
      </c>
      <c r="E67">
        <f>IllegalConnections[[#This Row],[EstimatedLoss_RM]]/0.8</f>
        <v>258775.39761431894</v>
      </c>
      <c r="F67" t="s">
        <v>1944</v>
      </c>
    </row>
    <row r="68" spans="1:6" x14ac:dyDescent="0.3">
      <c r="A68" t="s">
        <v>2206</v>
      </c>
      <c r="B68" t="s">
        <v>39</v>
      </c>
      <c r="C68" s="7">
        <v>45886</v>
      </c>
      <c r="D68" s="21">
        <v>173261.10416418937</v>
      </c>
      <c r="E68">
        <f>IllegalConnections[[#This Row],[EstimatedLoss_RM]]/0.8</f>
        <v>216576.3802052367</v>
      </c>
      <c r="F68" t="s">
        <v>1949</v>
      </c>
    </row>
    <row r="69" spans="1:6" x14ac:dyDescent="0.3">
      <c r="A69" t="s">
        <v>2043</v>
      </c>
      <c r="B69" t="s">
        <v>44</v>
      </c>
      <c r="C69" s="7">
        <v>45885</v>
      </c>
      <c r="D69" s="21">
        <v>326294.33790586592</v>
      </c>
      <c r="E69">
        <f>IllegalConnections[[#This Row],[EstimatedLoss_RM]]/0.8</f>
        <v>407867.92238233238</v>
      </c>
      <c r="F69" t="s">
        <v>1947</v>
      </c>
    </row>
    <row r="70" spans="1:6" x14ac:dyDescent="0.3">
      <c r="A70" t="s">
        <v>2132</v>
      </c>
      <c r="B70" t="s">
        <v>40</v>
      </c>
      <c r="C70" s="7">
        <v>45884</v>
      </c>
      <c r="D70" s="21">
        <v>169949.39454574409</v>
      </c>
      <c r="E70">
        <f>IllegalConnections[[#This Row],[EstimatedLoss_RM]]/0.8</f>
        <v>212436.7431821801</v>
      </c>
      <c r="F70" t="s">
        <v>1944</v>
      </c>
    </row>
    <row r="71" spans="1:6" x14ac:dyDescent="0.3">
      <c r="A71" t="s">
        <v>2240</v>
      </c>
      <c r="B71" t="s">
        <v>52</v>
      </c>
      <c r="C71" s="7">
        <v>45883</v>
      </c>
      <c r="D71" s="21">
        <v>208939.29222687197</v>
      </c>
      <c r="E71">
        <f>IllegalConnections[[#This Row],[EstimatedLoss_RM]]/0.8</f>
        <v>261174.11528358996</v>
      </c>
      <c r="F71" t="s">
        <v>1949</v>
      </c>
    </row>
    <row r="72" spans="1:6" x14ac:dyDescent="0.3">
      <c r="A72" t="s">
        <v>2093</v>
      </c>
      <c r="B72" t="s">
        <v>46</v>
      </c>
      <c r="C72" s="7">
        <v>45875</v>
      </c>
      <c r="D72" s="21">
        <v>126015.50453965852</v>
      </c>
      <c r="E72">
        <f>IllegalConnections[[#This Row],[EstimatedLoss_RM]]/0.8</f>
        <v>157519.38067457313</v>
      </c>
      <c r="F72" t="s">
        <v>1947</v>
      </c>
    </row>
    <row r="73" spans="1:6" x14ac:dyDescent="0.3">
      <c r="A73" t="s">
        <v>1945</v>
      </c>
      <c r="B73" t="s">
        <v>48</v>
      </c>
      <c r="C73" s="7">
        <v>45873</v>
      </c>
      <c r="D73" s="21">
        <v>191621.7907523124</v>
      </c>
      <c r="E73">
        <f>IllegalConnections[[#This Row],[EstimatedLoss_RM]]/0.8</f>
        <v>239527.2384403905</v>
      </c>
      <c r="F73" t="s">
        <v>1944</v>
      </c>
    </row>
    <row r="74" spans="1:6" x14ac:dyDescent="0.3">
      <c r="A74" t="s">
        <v>2174</v>
      </c>
      <c r="B74" t="s">
        <v>50</v>
      </c>
      <c r="C74" s="7">
        <v>45872</v>
      </c>
      <c r="D74" s="21">
        <v>91917.808882461279</v>
      </c>
      <c r="E74">
        <f>IllegalConnections[[#This Row],[EstimatedLoss_RM]]/0.8</f>
        <v>114897.2611030766</v>
      </c>
      <c r="F74" t="s">
        <v>1947</v>
      </c>
    </row>
    <row r="75" spans="1:6" x14ac:dyDescent="0.3">
      <c r="A75" t="s">
        <v>2205</v>
      </c>
      <c r="B75" t="s">
        <v>39</v>
      </c>
      <c r="C75" s="7">
        <v>45871</v>
      </c>
      <c r="D75" s="21">
        <v>18349.071349106423</v>
      </c>
      <c r="E75">
        <f>IllegalConnections[[#This Row],[EstimatedLoss_RM]]/0.8</f>
        <v>22936.339186383029</v>
      </c>
      <c r="F75" t="s">
        <v>1947</v>
      </c>
    </row>
    <row r="76" spans="1:6" x14ac:dyDescent="0.3">
      <c r="A76" t="s">
        <v>2022</v>
      </c>
      <c r="B76" t="s">
        <v>47</v>
      </c>
      <c r="C76" s="7">
        <v>45869</v>
      </c>
      <c r="D76" s="21">
        <v>327482.23523258942</v>
      </c>
      <c r="E76">
        <f>IllegalConnections[[#This Row],[EstimatedLoss_RM]]/0.8</f>
        <v>409352.79404073674</v>
      </c>
      <c r="F76" t="s">
        <v>1944</v>
      </c>
    </row>
    <row r="77" spans="1:6" x14ac:dyDescent="0.3">
      <c r="A77" t="s">
        <v>2075</v>
      </c>
      <c r="B77" t="s">
        <v>43</v>
      </c>
      <c r="C77" s="7">
        <v>45868</v>
      </c>
      <c r="D77" s="21">
        <v>207087.00322839763</v>
      </c>
      <c r="E77">
        <f>IllegalConnections[[#This Row],[EstimatedLoss_RM]]/0.8</f>
        <v>258858.75403549703</v>
      </c>
      <c r="F77" t="s">
        <v>1944</v>
      </c>
    </row>
    <row r="78" spans="1:6" x14ac:dyDescent="0.3">
      <c r="A78" t="s">
        <v>2238</v>
      </c>
      <c r="B78" t="s">
        <v>48</v>
      </c>
      <c r="C78" s="7">
        <v>45867</v>
      </c>
      <c r="D78" s="21">
        <v>204388.57823003002</v>
      </c>
      <c r="E78">
        <f>IllegalConnections[[#This Row],[EstimatedLoss_RM]]/0.8</f>
        <v>255485.72278753752</v>
      </c>
      <c r="F78" t="s">
        <v>1949</v>
      </c>
    </row>
    <row r="79" spans="1:6" x14ac:dyDescent="0.3">
      <c r="A79" t="s">
        <v>2245</v>
      </c>
      <c r="B79" t="s">
        <v>41</v>
      </c>
      <c r="C79" s="7">
        <v>45865</v>
      </c>
      <c r="D79" s="21">
        <v>138569.52816856574</v>
      </c>
      <c r="E79">
        <f>IllegalConnections[[#This Row],[EstimatedLoss_RM]]/0.8</f>
        <v>173211.91021070717</v>
      </c>
      <c r="F79" t="s">
        <v>1944</v>
      </c>
    </row>
    <row r="80" spans="1:6" x14ac:dyDescent="0.3">
      <c r="A80" t="s">
        <v>1946</v>
      </c>
      <c r="B80" t="s">
        <v>45</v>
      </c>
      <c r="C80" s="7">
        <v>45861</v>
      </c>
      <c r="D80" s="21">
        <v>177956.25707444979</v>
      </c>
      <c r="E80">
        <f>IllegalConnections[[#This Row],[EstimatedLoss_RM]]/0.8</f>
        <v>222445.32134306224</v>
      </c>
      <c r="F80" t="s">
        <v>1944</v>
      </c>
    </row>
    <row r="81" spans="1:6" x14ac:dyDescent="0.3">
      <c r="A81" t="s">
        <v>1969</v>
      </c>
      <c r="B81" t="s">
        <v>52</v>
      </c>
      <c r="C81" s="7">
        <v>45861</v>
      </c>
      <c r="D81" s="21">
        <v>39521.329028606051</v>
      </c>
      <c r="E81">
        <f>IllegalConnections[[#This Row],[EstimatedLoss_RM]]/0.8</f>
        <v>49401.66128575756</v>
      </c>
      <c r="F81" t="s">
        <v>1944</v>
      </c>
    </row>
    <row r="82" spans="1:6" x14ac:dyDescent="0.3">
      <c r="A82" t="s">
        <v>2193</v>
      </c>
      <c r="B82" t="s">
        <v>53</v>
      </c>
      <c r="C82" s="7">
        <v>45860</v>
      </c>
      <c r="D82" s="21">
        <v>163536.55275973136</v>
      </c>
      <c r="E82">
        <f>IllegalConnections[[#This Row],[EstimatedLoss_RM]]/0.8</f>
        <v>204420.69094966419</v>
      </c>
      <c r="F82" t="s">
        <v>1944</v>
      </c>
    </row>
    <row r="83" spans="1:6" x14ac:dyDescent="0.3">
      <c r="A83" t="s">
        <v>2142</v>
      </c>
      <c r="B83" t="s">
        <v>52</v>
      </c>
      <c r="C83" s="7">
        <v>45857</v>
      </c>
      <c r="D83" s="21">
        <v>279039.17279038014</v>
      </c>
      <c r="E83">
        <f>IllegalConnections[[#This Row],[EstimatedLoss_RM]]/0.8</f>
        <v>348798.96598797513</v>
      </c>
      <c r="F83" t="s">
        <v>1944</v>
      </c>
    </row>
    <row r="84" spans="1:6" x14ac:dyDescent="0.3">
      <c r="A84" t="s">
        <v>2054</v>
      </c>
      <c r="B84" t="s">
        <v>48</v>
      </c>
      <c r="C84" s="7">
        <v>45856</v>
      </c>
      <c r="D84" s="21">
        <v>204318.0668967056</v>
      </c>
      <c r="E84">
        <f>IllegalConnections[[#This Row],[EstimatedLoss_RM]]/0.8</f>
        <v>255397.58362088198</v>
      </c>
      <c r="F84" t="s">
        <v>1949</v>
      </c>
    </row>
    <row r="85" spans="1:6" x14ac:dyDescent="0.3">
      <c r="A85" t="s">
        <v>1997</v>
      </c>
      <c r="B85" t="s">
        <v>43</v>
      </c>
      <c r="C85" s="7">
        <v>45851</v>
      </c>
      <c r="D85" s="21">
        <v>216705.37768325661</v>
      </c>
      <c r="E85">
        <f>IllegalConnections[[#This Row],[EstimatedLoss_RM]]/0.8</f>
        <v>270881.72210407077</v>
      </c>
      <c r="F85" t="s">
        <v>1947</v>
      </c>
    </row>
    <row r="86" spans="1:6" x14ac:dyDescent="0.3">
      <c r="A86" t="s">
        <v>2122</v>
      </c>
      <c r="B86" t="s">
        <v>50</v>
      </c>
      <c r="C86" s="7">
        <v>45850</v>
      </c>
      <c r="D86" s="21">
        <v>322430.83610919566</v>
      </c>
      <c r="E86">
        <f>IllegalConnections[[#This Row],[EstimatedLoss_RM]]/0.8</f>
        <v>403038.54513649456</v>
      </c>
      <c r="F86" t="s">
        <v>1949</v>
      </c>
    </row>
    <row r="87" spans="1:6" x14ac:dyDescent="0.3">
      <c r="A87" t="s">
        <v>2007</v>
      </c>
      <c r="B87" t="s">
        <v>46</v>
      </c>
      <c r="C87" s="7">
        <v>45844</v>
      </c>
      <c r="D87" s="21">
        <v>320693.46965205047</v>
      </c>
      <c r="E87">
        <f>IllegalConnections[[#This Row],[EstimatedLoss_RM]]/0.8</f>
        <v>400866.83706506307</v>
      </c>
      <c r="F87" t="s">
        <v>1944</v>
      </c>
    </row>
    <row r="88" spans="1:6" x14ac:dyDescent="0.3">
      <c r="A88" t="s">
        <v>2023</v>
      </c>
      <c r="B88" t="s">
        <v>45</v>
      </c>
      <c r="C88" s="7">
        <v>45844</v>
      </c>
      <c r="D88" s="21">
        <v>11582.716347376032</v>
      </c>
      <c r="E88">
        <f>IllegalConnections[[#This Row],[EstimatedLoss_RM]]/0.8</f>
        <v>14478.39543422004</v>
      </c>
      <c r="F88" t="s">
        <v>1949</v>
      </c>
    </row>
    <row r="89" spans="1:6" x14ac:dyDescent="0.3">
      <c r="A89" t="s">
        <v>2051</v>
      </c>
      <c r="B89" t="s">
        <v>47</v>
      </c>
      <c r="C89" s="7">
        <v>45841</v>
      </c>
      <c r="D89" s="21">
        <v>97790.063779653297</v>
      </c>
      <c r="E89">
        <f>IllegalConnections[[#This Row],[EstimatedLoss_RM]]/0.8</f>
        <v>122237.57972456662</v>
      </c>
      <c r="F89" t="s">
        <v>1944</v>
      </c>
    </row>
    <row r="90" spans="1:6" x14ac:dyDescent="0.3">
      <c r="A90" t="s">
        <v>2107</v>
      </c>
      <c r="B90" t="s">
        <v>50</v>
      </c>
      <c r="C90" s="7">
        <v>45841</v>
      </c>
      <c r="D90" s="21">
        <v>113486.89778671705</v>
      </c>
      <c r="E90">
        <f>IllegalConnections[[#This Row],[EstimatedLoss_RM]]/0.8</f>
        <v>141858.62223339631</v>
      </c>
      <c r="F90" t="s">
        <v>1949</v>
      </c>
    </row>
    <row r="91" spans="1:6" x14ac:dyDescent="0.3">
      <c r="A91" t="s">
        <v>2119</v>
      </c>
      <c r="B91" t="s">
        <v>40</v>
      </c>
      <c r="C91" s="7">
        <v>45840</v>
      </c>
      <c r="D91" s="21">
        <v>247045.06524402866</v>
      </c>
      <c r="E91">
        <f>IllegalConnections[[#This Row],[EstimatedLoss_RM]]/0.8</f>
        <v>308806.33155503584</v>
      </c>
      <c r="F91" t="s">
        <v>1944</v>
      </c>
    </row>
    <row r="92" spans="1:6" x14ac:dyDescent="0.3">
      <c r="A92" t="s">
        <v>2242</v>
      </c>
      <c r="B92" t="s">
        <v>43</v>
      </c>
      <c r="C92" s="7">
        <v>45840</v>
      </c>
      <c r="D92" s="21">
        <v>88418.888941042213</v>
      </c>
      <c r="E92">
        <f>IllegalConnections[[#This Row],[EstimatedLoss_RM]]/0.8</f>
        <v>110523.61117630276</v>
      </c>
      <c r="F92" t="s">
        <v>1944</v>
      </c>
    </row>
    <row r="93" spans="1:6" x14ac:dyDescent="0.3">
      <c r="A93" t="s">
        <v>2017</v>
      </c>
      <c r="B93" t="s">
        <v>39</v>
      </c>
      <c r="C93" s="7">
        <v>45836</v>
      </c>
      <c r="D93" s="21">
        <v>271344.69186628627</v>
      </c>
      <c r="E93">
        <f>IllegalConnections[[#This Row],[EstimatedLoss_RM]]/0.8</f>
        <v>339180.8648328578</v>
      </c>
      <c r="F93" t="s">
        <v>1949</v>
      </c>
    </row>
    <row r="94" spans="1:6" x14ac:dyDescent="0.3">
      <c r="A94" t="s">
        <v>2079</v>
      </c>
      <c r="B94" t="s">
        <v>39</v>
      </c>
      <c r="C94" s="7">
        <v>45835</v>
      </c>
      <c r="D94" s="21">
        <v>200991.32579247409</v>
      </c>
      <c r="E94">
        <f>IllegalConnections[[#This Row],[EstimatedLoss_RM]]/0.8</f>
        <v>251239.15724059261</v>
      </c>
      <c r="F94" t="s">
        <v>1944</v>
      </c>
    </row>
    <row r="95" spans="1:6" x14ac:dyDescent="0.3">
      <c r="A95" t="s">
        <v>2070</v>
      </c>
      <c r="B95" t="s">
        <v>48</v>
      </c>
      <c r="C95" s="7">
        <v>45827</v>
      </c>
      <c r="D95" s="21">
        <v>337155.54293550347</v>
      </c>
      <c r="E95">
        <f>IllegalConnections[[#This Row],[EstimatedLoss_RM]]/0.8</f>
        <v>421444.42866937933</v>
      </c>
      <c r="F95" t="s">
        <v>1947</v>
      </c>
    </row>
    <row r="96" spans="1:6" x14ac:dyDescent="0.3">
      <c r="A96" t="s">
        <v>2038</v>
      </c>
      <c r="B96" t="s">
        <v>42</v>
      </c>
      <c r="C96" s="7">
        <v>45825</v>
      </c>
      <c r="D96" s="21">
        <v>154158.54542758109</v>
      </c>
      <c r="E96">
        <f>IllegalConnections[[#This Row],[EstimatedLoss_RM]]/0.8</f>
        <v>192698.18178447636</v>
      </c>
      <c r="F96" t="s">
        <v>1949</v>
      </c>
    </row>
    <row r="97" spans="1:6" x14ac:dyDescent="0.3">
      <c r="A97" t="s">
        <v>1962</v>
      </c>
      <c r="B97" t="s">
        <v>42</v>
      </c>
      <c r="C97" s="7">
        <v>45823</v>
      </c>
      <c r="D97" s="21">
        <v>75597.714814752646</v>
      </c>
      <c r="E97">
        <f>IllegalConnections[[#This Row],[EstimatedLoss_RM]]/0.8</f>
        <v>94497.143518440804</v>
      </c>
      <c r="F97" t="s">
        <v>1949</v>
      </c>
    </row>
    <row r="98" spans="1:6" x14ac:dyDescent="0.3">
      <c r="A98" t="s">
        <v>2224</v>
      </c>
      <c r="B98" t="s">
        <v>47</v>
      </c>
      <c r="C98" s="7">
        <v>45819</v>
      </c>
      <c r="D98" s="21">
        <v>80306.53271209143</v>
      </c>
      <c r="E98">
        <f>IllegalConnections[[#This Row],[EstimatedLoss_RM]]/0.8</f>
        <v>100383.16589011428</v>
      </c>
      <c r="F98" t="s">
        <v>1949</v>
      </c>
    </row>
    <row r="99" spans="1:6" x14ac:dyDescent="0.3">
      <c r="A99" t="s">
        <v>2225</v>
      </c>
      <c r="B99" t="s">
        <v>46</v>
      </c>
      <c r="C99" s="7">
        <v>45818</v>
      </c>
      <c r="D99" s="21">
        <v>172175.4209408121</v>
      </c>
      <c r="E99">
        <f>IllegalConnections[[#This Row],[EstimatedLoss_RM]]/0.8</f>
        <v>215219.27617601512</v>
      </c>
      <c r="F99" t="s">
        <v>1947</v>
      </c>
    </row>
    <row r="100" spans="1:6" x14ac:dyDescent="0.3">
      <c r="A100" t="s">
        <v>2050</v>
      </c>
      <c r="B100" t="s">
        <v>50</v>
      </c>
      <c r="C100" s="7">
        <v>45813</v>
      </c>
      <c r="D100" s="21">
        <v>141251.96513205167</v>
      </c>
      <c r="E100">
        <f>IllegalConnections[[#This Row],[EstimatedLoss_RM]]/0.8</f>
        <v>176564.95641506457</v>
      </c>
      <c r="F100" t="s">
        <v>1944</v>
      </c>
    </row>
    <row r="101" spans="1:6" x14ac:dyDescent="0.3">
      <c r="A101" t="s">
        <v>2155</v>
      </c>
      <c r="B101" t="s">
        <v>40</v>
      </c>
      <c r="C101" s="7">
        <v>45809</v>
      </c>
      <c r="D101" s="21">
        <v>68767.544323366223</v>
      </c>
      <c r="E101">
        <f>IllegalConnections[[#This Row],[EstimatedLoss_RM]]/0.8</f>
        <v>85959.430404207771</v>
      </c>
      <c r="F101" t="s">
        <v>1944</v>
      </c>
    </row>
    <row r="102" spans="1:6" x14ac:dyDescent="0.3">
      <c r="A102" t="s">
        <v>2233</v>
      </c>
      <c r="B102" t="s">
        <v>48</v>
      </c>
      <c r="C102" s="7">
        <v>45807</v>
      </c>
      <c r="D102" s="21">
        <v>31587.300881028135</v>
      </c>
      <c r="E102">
        <f>IllegalConnections[[#This Row],[EstimatedLoss_RM]]/0.8</f>
        <v>39484.126101285168</v>
      </c>
      <c r="F102" t="s">
        <v>1944</v>
      </c>
    </row>
    <row r="103" spans="1:6" x14ac:dyDescent="0.3">
      <c r="A103" t="s">
        <v>2034</v>
      </c>
      <c r="B103" t="s">
        <v>44</v>
      </c>
      <c r="C103" s="7">
        <v>45804</v>
      </c>
      <c r="D103" s="21">
        <v>180178.59392300664</v>
      </c>
      <c r="E103">
        <f>IllegalConnections[[#This Row],[EstimatedLoss_RM]]/0.8</f>
        <v>225223.24240375828</v>
      </c>
      <c r="F103" t="s">
        <v>1944</v>
      </c>
    </row>
    <row r="104" spans="1:6" x14ac:dyDescent="0.3">
      <c r="A104" t="s">
        <v>2241</v>
      </c>
      <c r="B104" t="s">
        <v>53</v>
      </c>
      <c r="C104" s="7">
        <v>45804</v>
      </c>
      <c r="D104" s="21">
        <v>109651.95581304062</v>
      </c>
      <c r="E104">
        <f>IllegalConnections[[#This Row],[EstimatedLoss_RM]]/0.8</f>
        <v>137064.94476630076</v>
      </c>
      <c r="F104" t="s">
        <v>1944</v>
      </c>
    </row>
    <row r="105" spans="1:6" x14ac:dyDescent="0.3">
      <c r="A105" t="s">
        <v>2037</v>
      </c>
      <c r="B105" t="s">
        <v>49</v>
      </c>
      <c r="C105" s="7">
        <v>45803</v>
      </c>
      <c r="D105" s="21">
        <v>268613.06094931817</v>
      </c>
      <c r="E105">
        <f>IllegalConnections[[#This Row],[EstimatedLoss_RM]]/0.8</f>
        <v>335766.3261866477</v>
      </c>
      <c r="F105" t="s">
        <v>1947</v>
      </c>
    </row>
    <row r="106" spans="1:6" x14ac:dyDescent="0.3">
      <c r="A106" t="s">
        <v>2044</v>
      </c>
      <c r="B106" t="s">
        <v>50</v>
      </c>
      <c r="C106" s="7">
        <v>45802</v>
      </c>
      <c r="D106" s="21">
        <v>280514.30814549123</v>
      </c>
      <c r="E106">
        <f>IllegalConnections[[#This Row],[EstimatedLoss_RM]]/0.8</f>
        <v>350642.88518186403</v>
      </c>
      <c r="F106" t="s">
        <v>1949</v>
      </c>
    </row>
    <row r="107" spans="1:6" x14ac:dyDescent="0.3">
      <c r="A107" t="s">
        <v>2199</v>
      </c>
      <c r="B107" t="s">
        <v>42</v>
      </c>
      <c r="C107" s="7">
        <v>45800</v>
      </c>
      <c r="D107" s="21">
        <v>272256.41980415577</v>
      </c>
      <c r="E107">
        <f>IllegalConnections[[#This Row],[EstimatedLoss_RM]]/0.8</f>
        <v>340320.52475519467</v>
      </c>
      <c r="F107" t="s">
        <v>1944</v>
      </c>
    </row>
    <row r="108" spans="1:6" x14ac:dyDescent="0.3">
      <c r="A108" t="s">
        <v>2131</v>
      </c>
      <c r="B108" t="s">
        <v>53</v>
      </c>
      <c r="C108" s="7">
        <v>45798</v>
      </c>
      <c r="D108" s="21">
        <v>339889.90684988722</v>
      </c>
      <c r="E108">
        <f>IllegalConnections[[#This Row],[EstimatedLoss_RM]]/0.8</f>
        <v>424862.38356235903</v>
      </c>
      <c r="F108" t="s">
        <v>1944</v>
      </c>
    </row>
    <row r="109" spans="1:6" x14ac:dyDescent="0.3">
      <c r="A109" t="s">
        <v>2035</v>
      </c>
      <c r="B109" t="s">
        <v>38</v>
      </c>
      <c r="C109" s="7">
        <v>45795</v>
      </c>
      <c r="D109" s="21">
        <v>150509.17397842905</v>
      </c>
      <c r="E109">
        <f>IllegalConnections[[#This Row],[EstimatedLoss_RM]]/0.8</f>
        <v>188136.46747303632</v>
      </c>
      <c r="F109" t="s">
        <v>1947</v>
      </c>
    </row>
    <row r="110" spans="1:6" x14ac:dyDescent="0.3">
      <c r="A110" t="s">
        <v>2168</v>
      </c>
      <c r="B110" t="s">
        <v>39</v>
      </c>
      <c r="C110" s="7">
        <v>45794</v>
      </c>
      <c r="D110" s="21">
        <v>242335.97404694834</v>
      </c>
      <c r="E110">
        <f>IllegalConnections[[#This Row],[EstimatedLoss_RM]]/0.8</f>
        <v>302919.9675586854</v>
      </c>
      <c r="F110" t="s">
        <v>1947</v>
      </c>
    </row>
    <row r="111" spans="1:6" x14ac:dyDescent="0.3">
      <c r="A111" t="s">
        <v>2165</v>
      </c>
      <c r="B111" t="s">
        <v>41</v>
      </c>
      <c r="C111" s="7">
        <v>45793</v>
      </c>
      <c r="D111" s="21">
        <v>35517.35116477008</v>
      </c>
      <c r="E111">
        <f>IllegalConnections[[#This Row],[EstimatedLoss_RM]]/0.8</f>
        <v>44396.6889559626</v>
      </c>
      <c r="F111" t="s">
        <v>1949</v>
      </c>
    </row>
    <row r="112" spans="1:6" x14ac:dyDescent="0.3">
      <c r="A112" t="s">
        <v>2178</v>
      </c>
      <c r="B112" t="s">
        <v>45</v>
      </c>
      <c r="C112" s="7">
        <v>45790</v>
      </c>
      <c r="D112" s="21">
        <v>65574.173493019698</v>
      </c>
      <c r="E112">
        <f>IllegalConnections[[#This Row],[EstimatedLoss_RM]]/0.8</f>
        <v>81967.716866274612</v>
      </c>
      <c r="F112" t="s">
        <v>1947</v>
      </c>
    </row>
    <row r="113" spans="1:6" x14ac:dyDescent="0.3">
      <c r="A113" t="s">
        <v>1967</v>
      </c>
      <c r="B113" t="s">
        <v>47</v>
      </c>
      <c r="C113" s="7">
        <v>45789</v>
      </c>
      <c r="D113" s="21">
        <v>155880.47044932769</v>
      </c>
      <c r="E113">
        <f>IllegalConnections[[#This Row],[EstimatedLoss_RM]]/0.8</f>
        <v>194850.5880616596</v>
      </c>
      <c r="F113" t="s">
        <v>1949</v>
      </c>
    </row>
    <row r="114" spans="1:6" x14ac:dyDescent="0.3">
      <c r="A114" t="s">
        <v>2215</v>
      </c>
      <c r="B114" t="s">
        <v>47</v>
      </c>
      <c r="C114" s="7">
        <v>45786</v>
      </c>
      <c r="D114" s="21">
        <v>257046.60593656541</v>
      </c>
      <c r="E114">
        <f>IllegalConnections[[#This Row],[EstimatedLoss_RM]]/0.8</f>
        <v>321308.25742070674</v>
      </c>
      <c r="F114" t="s">
        <v>1944</v>
      </c>
    </row>
    <row r="115" spans="1:6" x14ac:dyDescent="0.3">
      <c r="A115" t="s">
        <v>1955</v>
      </c>
      <c r="B115" t="s">
        <v>50</v>
      </c>
      <c r="C115" s="7">
        <v>45777</v>
      </c>
      <c r="D115" s="21">
        <v>303704.74776659673</v>
      </c>
      <c r="E115">
        <f>IllegalConnections[[#This Row],[EstimatedLoss_RM]]/0.8</f>
        <v>379630.93470824591</v>
      </c>
      <c r="F115" t="s">
        <v>1949</v>
      </c>
    </row>
    <row r="116" spans="1:6" x14ac:dyDescent="0.3">
      <c r="A116" t="s">
        <v>2059</v>
      </c>
      <c r="B116" t="s">
        <v>46</v>
      </c>
      <c r="C116" s="7">
        <v>45772</v>
      </c>
      <c r="D116" s="21">
        <v>320619.95202156884</v>
      </c>
      <c r="E116">
        <f>IllegalConnections[[#This Row],[EstimatedLoss_RM]]/0.8</f>
        <v>400774.94002696103</v>
      </c>
      <c r="F116" t="s">
        <v>1944</v>
      </c>
    </row>
    <row r="117" spans="1:6" x14ac:dyDescent="0.3">
      <c r="A117" t="s">
        <v>1990</v>
      </c>
      <c r="B117" t="s">
        <v>47</v>
      </c>
      <c r="C117" s="7">
        <v>45772</v>
      </c>
      <c r="D117" s="21">
        <v>31795.828583844203</v>
      </c>
      <c r="E117">
        <f>IllegalConnections[[#This Row],[EstimatedLoss_RM]]/0.8</f>
        <v>39744.785729805248</v>
      </c>
      <c r="F117" t="s">
        <v>1947</v>
      </c>
    </row>
    <row r="118" spans="1:6" x14ac:dyDescent="0.3">
      <c r="A118" t="s">
        <v>2076</v>
      </c>
      <c r="B118" t="s">
        <v>42</v>
      </c>
      <c r="C118" s="7">
        <v>45767</v>
      </c>
      <c r="D118" s="21">
        <v>7216.2063763506467</v>
      </c>
      <c r="E118">
        <f>IllegalConnections[[#This Row],[EstimatedLoss_RM]]/0.8</f>
        <v>9020.2579704383079</v>
      </c>
      <c r="F118" t="s">
        <v>1944</v>
      </c>
    </row>
    <row r="119" spans="1:6" x14ac:dyDescent="0.3">
      <c r="A119" t="s">
        <v>2180</v>
      </c>
      <c r="B119" t="s">
        <v>42</v>
      </c>
      <c r="C119" s="7">
        <v>45763</v>
      </c>
      <c r="D119" s="21">
        <v>203487.23568234011</v>
      </c>
      <c r="E119">
        <f>IllegalConnections[[#This Row],[EstimatedLoss_RM]]/0.8</f>
        <v>254359.04460292513</v>
      </c>
      <c r="F119" t="s">
        <v>1944</v>
      </c>
    </row>
    <row r="120" spans="1:6" x14ac:dyDescent="0.3">
      <c r="A120" t="s">
        <v>2166</v>
      </c>
      <c r="B120" t="s">
        <v>48</v>
      </c>
      <c r="C120" s="7">
        <v>45760</v>
      </c>
      <c r="D120" s="21">
        <v>166430.66037306137</v>
      </c>
      <c r="E120">
        <f>IllegalConnections[[#This Row],[EstimatedLoss_RM]]/0.8</f>
        <v>208038.3254663267</v>
      </c>
      <c r="F120" t="s">
        <v>1944</v>
      </c>
    </row>
    <row r="121" spans="1:6" x14ac:dyDescent="0.3">
      <c r="A121" t="s">
        <v>2160</v>
      </c>
      <c r="B121" t="s">
        <v>52</v>
      </c>
      <c r="C121" s="7">
        <v>45754</v>
      </c>
      <c r="D121" s="21">
        <v>52794.677577319198</v>
      </c>
      <c r="E121">
        <f>IllegalConnections[[#This Row],[EstimatedLoss_RM]]/0.8</f>
        <v>65993.346971648993</v>
      </c>
      <c r="F121" t="s">
        <v>1944</v>
      </c>
    </row>
    <row r="122" spans="1:6" x14ac:dyDescent="0.3">
      <c r="A122" t="s">
        <v>1991</v>
      </c>
      <c r="B122" t="s">
        <v>49</v>
      </c>
      <c r="C122" s="7">
        <v>45754</v>
      </c>
      <c r="D122" s="21">
        <v>197243.97638597008</v>
      </c>
      <c r="E122">
        <f>IllegalConnections[[#This Row],[EstimatedLoss_RM]]/0.8</f>
        <v>246554.97048246258</v>
      </c>
      <c r="F122" t="s">
        <v>1949</v>
      </c>
    </row>
    <row r="123" spans="1:6" x14ac:dyDescent="0.3">
      <c r="A123" t="s">
        <v>2110</v>
      </c>
      <c r="B123" t="s">
        <v>52</v>
      </c>
      <c r="C123" s="7">
        <v>45754</v>
      </c>
      <c r="D123" s="21">
        <v>145245.14765609571</v>
      </c>
      <c r="E123">
        <f>IllegalConnections[[#This Row],[EstimatedLoss_RM]]/0.8</f>
        <v>181556.43457011963</v>
      </c>
      <c r="F123" t="s">
        <v>1949</v>
      </c>
    </row>
    <row r="124" spans="1:6" x14ac:dyDescent="0.3">
      <c r="A124" t="s">
        <v>2203</v>
      </c>
      <c r="B124" t="s">
        <v>42</v>
      </c>
      <c r="C124" s="7">
        <v>45754</v>
      </c>
      <c r="D124" s="21">
        <v>248432.33473222578</v>
      </c>
      <c r="E124">
        <f>IllegalConnections[[#This Row],[EstimatedLoss_RM]]/0.8</f>
        <v>310540.41841528221</v>
      </c>
      <c r="F124" t="s">
        <v>1947</v>
      </c>
    </row>
    <row r="125" spans="1:6" x14ac:dyDescent="0.3">
      <c r="A125" t="s">
        <v>2001</v>
      </c>
      <c r="B125" t="s">
        <v>38</v>
      </c>
      <c r="C125" s="7">
        <v>45753</v>
      </c>
      <c r="D125" s="21">
        <v>61622.532529693926</v>
      </c>
      <c r="E125">
        <f>IllegalConnections[[#This Row],[EstimatedLoss_RM]]/0.8</f>
        <v>77028.165662117404</v>
      </c>
      <c r="F125" t="s">
        <v>1944</v>
      </c>
    </row>
    <row r="126" spans="1:6" x14ac:dyDescent="0.3">
      <c r="A126" t="s">
        <v>1974</v>
      </c>
      <c r="B126" t="s">
        <v>45</v>
      </c>
      <c r="C126" s="7">
        <v>45752</v>
      </c>
      <c r="D126" s="21">
        <v>4647.4621053568681</v>
      </c>
      <c r="E126">
        <f>IllegalConnections[[#This Row],[EstimatedLoss_RM]]/0.8</f>
        <v>5809.3276316960846</v>
      </c>
      <c r="F126" t="s">
        <v>1944</v>
      </c>
    </row>
    <row r="127" spans="1:6" x14ac:dyDescent="0.3">
      <c r="A127" t="s">
        <v>2176</v>
      </c>
      <c r="B127" t="s">
        <v>50</v>
      </c>
      <c r="C127" s="7">
        <v>45750</v>
      </c>
      <c r="D127" s="21">
        <v>190362.56219303975</v>
      </c>
      <c r="E127">
        <f>IllegalConnections[[#This Row],[EstimatedLoss_RM]]/0.8</f>
        <v>237953.20274129967</v>
      </c>
      <c r="F127" t="s">
        <v>1944</v>
      </c>
    </row>
    <row r="128" spans="1:6" x14ac:dyDescent="0.3">
      <c r="A128" t="s">
        <v>2164</v>
      </c>
      <c r="B128" t="s">
        <v>49</v>
      </c>
      <c r="C128" s="7">
        <v>45749</v>
      </c>
      <c r="D128" s="21">
        <v>122030.79430760305</v>
      </c>
      <c r="E128">
        <f>IllegalConnections[[#This Row],[EstimatedLoss_RM]]/0.8</f>
        <v>152538.49288450379</v>
      </c>
      <c r="F128" t="s">
        <v>1944</v>
      </c>
    </row>
    <row r="129" spans="1:6" x14ac:dyDescent="0.3">
      <c r="A129" t="s">
        <v>1984</v>
      </c>
      <c r="B129" t="s">
        <v>42</v>
      </c>
      <c r="C129" s="7">
        <v>45745</v>
      </c>
      <c r="D129" s="21">
        <v>218892.7321648928</v>
      </c>
      <c r="E129">
        <f>IllegalConnections[[#This Row],[EstimatedLoss_RM]]/0.8</f>
        <v>273615.91520611598</v>
      </c>
      <c r="F129" t="s">
        <v>1944</v>
      </c>
    </row>
    <row r="130" spans="1:6" x14ac:dyDescent="0.3">
      <c r="A130" t="s">
        <v>2250</v>
      </c>
      <c r="B130" t="s">
        <v>47</v>
      </c>
      <c r="C130" s="7">
        <v>45745</v>
      </c>
      <c r="D130" s="21">
        <v>201434.07137381358</v>
      </c>
      <c r="E130">
        <f>IllegalConnections[[#This Row],[EstimatedLoss_RM]]/0.8</f>
        <v>251792.58921726697</v>
      </c>
      <c r="F130" t="s">
        <v>1944</v>
      </c>
    </row>
    <row r="131" spans="1:6" x14ac:dyDescent="0.3">
      <c r="A131" t="s">
        <v>2106</v>
      </c>
      <c r="B131" t="s">
        <v>45</v>
      </c>
      <c r="C131" s="7">
        <v>45745</v>
      </c>
      <c r="D131" s="21">
        <v>110572.9759421234</v>
      </c>
      <c r="E131">
        <f>IllegalConnections[[#This Row],[EstimatedLoss_RM]]/0.8</f>
        <v>138216.21992765425</v>
      </c>
      <c r="F131" t="s">
        <v>1947</v>
      </c>
    </row>
    <row r="132" spans="1:6" x14ac:dyDescent="0.3">
      <c r="A132" t="s">
        <v>2231</v>
      </c>
      <c r="B132" t="s">
        <v>52</v>
      </c>
      <c r="C132" s="7">
        <v>45745</v>
      </c>
      <c r="D132" s="21">
        <v>288016.11275178002</v>
      </c>
      <c r="E132">
        <f>IllegalConnections[[#This Row],[EstimatedLoss_RM]]/0.8</f>
        <v>360020.14093972498</v>
      </c>
      <c r="F132" t="s">
        <v>1947</v>
      </c>
    </row>
    <row r="133" spans="1:6" x14ac:dyDescent="0.3">
      <c r="A133" t="s">
        <v>2202</v>
      </c>
      <c r="B133" t="s">
        <v>43</v>
      </c>
      <c r="C133" s="7">
        <v>45744</v>
      </c>
      <c r="D133" s="21">
        <v>214307.30910087179</v>
      </c>
      <c r="E133">
        <f>IllegalConnections[[#This Row],[EstimatedLoss_RM]]/0.8</f>
        <v>267884.13637608971</v>
      </c>
      <c r="F133" t="s">
        <v>1947</v>
      </c>
    </row>
    <row r="134" spans="1:6" x14ac:dyDescent="0.3">
      <c r="A134" t="s">
        <v>2084</v>
      </c>
      <c r="B134" t="s">
        <v>39</v>
      </c>
      <c r="C134" s="7">
        <v>45743</v>
      </c>
      <c r="D134" s="21">
        <v>202014.69667477394</v>
      </c>
      <c r="E134">
        <f>IllegalConnections[[#This Row],[EstimatedLoss_RM]]/0.8</f>
        <v>252518.37084346742</v>
      </c>
      <c r="F134" t="s">
        <v>1949</v>
      </c>
    </row>
    <row r="135" spans="1:6" x14ac:dyDescent="0.3">
      <c r="A135" t="s">
        <v>2117</v>
      </c>
      <c r="B135" t="s">
        <v>45</v>
      </c>
      <c r="C135" s="7">
        <v>45743</v>
      </c>
      <c r="D135" s="21">
        <v>47677.959815690781</v>
      </c>
      <c r="E135">
        <f>IllegalConnections[[#This Row],[EstimatedLoss_RM]]/0.8</f>
        <v>59597.449769613471</v>
      </c>
      <c r="F135" t="s">
        <v>1947</v>
      </c>
    </row>
    <row r="136" spans="1:6" x14ac:dyDescent="0.3">
      <c r="A136" t="s">
        <v>2016</v>
      </c>
      <c r="B136" t="s">
        <v>41</v>
      </c>
      <c r="C136" s="7">
        <v>45740</v>
      </c>
      <c r="D136" s="21">
        <v>340886.49435751344</v>
      </c>
      <c r="E136">
        <f>IllegalConnections[[#This Row],[EstimatedLoss_RM]]/0.8</f>
        <v>426108.11794689175</v>
      </c>
      <c r="F136" t="s">
        <v>1949</v>
      </c>
    </row>
    <row r="137" spans="1:6" x14ac:dyDescent="0.3">
      <c r="A137" t="s">
        <v>2172</v>
      </c>
      <c r="B137" t="s">
        <v>43</v>
      </c>
      <c r="C137" s="7">
        <v>45736</v>
      </c>
      <c r="D137" s="21">
        <v>117154.03371907095</v>
      </c>
      <c r="E137">
        <f>IllegalConnections[[#This Row],[EstimatedLoss_RM]]/0.8</f>
        <v>146442.54214883869</v>
      </c>
      <c r="F137" t="s">
        <v>1944</v>
      </c>
    </row>
    <row r="138" spans="1:6" x14ac:dyDescent="0.3">
      <c r="A138" t="s">
        <v>1973</v>
      </c>
      <c r="B138" t="s">
        <v>45</v>
      </c>
      <c r="C138" s="7">
        <v>45732</v>
      </c>
      <c r="D138" s="21">
        <v>277685.10922078352</v>
      </c>
      <c r="E138">
        <f>IllegalConnections[[#This Row],[EstimatedLoss_RM]]/0.8</f>
        <v>347106.38652597938</v>
      </c>
      <c r="F138" t="s">
        <v>1949</v>
      </c>
    </row>
    <row r="139" spans="1:6" x14ac:dyDescent="0.3">
      <c r="A139" t="s">
        <v>1996</v>
      </c>
      <c r="B139" t="s">
        <v>53</v>
      </c>
      <c r="C139" s="7">
        <v>45729</v>
      </c>
      <c r="D139" s="21">
        <v>236215.15303480058</v>
      </c>
      <c r="E139">
        <f>IllegalConnections[[#This Row],[EstimatedLoss_RM]]/0.8</f>
        <v>295268.94129350071</v>
      </c>
      <c r="F139" t="s">
        <v>1949</v>
      </c>
    </row>
    <row r="140" spans="1:6" x14ac:dyDescent="0.3">
      <c r="A140" t="s">
        <v>2027</v>
      </c>
      <c r="B140" t="s">
        <v>42</v>
      </c>
      <c r="C140" s="7">
        <v>45726</v>
      </c>
      <c r="D140" s="21">
        <v>50440.06365384363</v>
      </c>
      <c r="E140">
        <f>IllegalConnections[[#This Row],[EstimatedLoss_RM]]/0.8</f>
        <v>63050.079567304536</v>
      </c>
      <c r="F140" t="s">
        <v>1949</v>
      </c>
    </row>
    <row r="141" spans="1:6" x14ac:dyDescent="0.3">
      <c r="A141" t="s">
        <v>2159</v>
      </c>
      <c r="B141" t="s">
        <v>41</v>
      </c>
      <c r="C141" s="7">
        <v>45719</v>
      </c>
      <c r="D141" s="21">
        <v>80346.981073843446</v>
      </c>
      <c r="E141">
        <f>IllegalConnections[[#This Row],[EstimatedLoss_RM]]/0.8</f>
        <v>100433.7263423043</v>
      </c>
      <c r="F141" t="s">
        <v>1944</v>
      </c>
    </row>
    <row r="142" spans="1:6" x14ac:dyDescent="0.3">
      <c r="A142" t="s">
        <v>2248</v>
      </c>
      <c r="B142" t="s">
        <v>44</v>
      </c>
      <c r="C142" s="7">
        <v>45716</v>
      </c>
      <c r="D142" s="21">
        <v>5136.3953430212869</v>
      </c>
      <c r="E142">
        <f>IllegalConnections[[#This Row],[EstimatedLoss_RM]]/0.8</f>
        <v>6420.4941787766084</v>
      </c>
      <c r="F142" t="s">
        <v>1949</v>
      </c>
    </row>
    <row r="143" spans="1:6" x14ac:dyDescent="0.3">
      <c r="A143" t="s">
        <v>2251</v>
      </c>
      <c r="B143" t="s">
        <v>45</v>
      </c>
      <c r="C143" s="7">
        <v>45715</v>
      </c>
      <c r="D143" s="21">
        <v>128000.07061305156</v>
      </c>
      <c r="E143">
        <f>IllegalConnections[[#This Row],[EstimatedLoss_RM]]/0.8</f>
        <v>160000.08826631444</v>
      </c>
      <c r="F143" t="s">
        <v>1944</v>
      </c>
    </row>
    <row r="144" spans="1:6" x14ac:dyDescent="0.3">
      <c r="A144" t="s">
        <v>2244</v>
      </c>
      <c r="B144" t="s">
        <v>46</v>
      </c>
      <c r="C144" s="7">
        <v>45715</v>
      </c>
      <c r="D144" s="21">
        <v>298846.84486023284</v>
      </c>
      <c r="E144">
        <f>IllegalConnections[[#This Row],[EstimatedLoss_RM]]/0.8</f>
        <v>373558.55607529101</v>
      </c>
      <c r="F144" t="s">
        <v>1949</v>
      </c>
    </row>
    <row r="145" spans="1:6" x14ac:dyDescent="0.3">
      <c r="A145" t="s">
        <v>2153</v>
      </c>
      <c r="B145" t="s">
        <v>52</v>
      </c>
      <c r="C145" s="7">
        <v>45713</v>
      </c>
      <c r="D145" s="21">
        <v>32148.248600595613</v>
      </c>
      <c r="E145">
        <f>IllegalConnections[[#This Row],[EstimatedLoss_RM]]/0.8</f>
        <v>40185.310750744517</v>
      </c>
      <c r="F145" t="s">
        <v>1944</v>
      </c>
    </row>
    <row r="146" spans="1:6" x14ac:dyDescent="0.3">
      <c r="A146" t="s">
        <v>2057</v>
      </c>
      <c r="B146" t="s">
        <v>42</v>
      </c>
      <c r="C146" s="7">
        <v>45711</v>
      </c>
      <c r="D146" s="21">
        <v>340177.14487827476</v>
      </c>
      <c r="E146">
        <f>IllegalConnections[[#This Row],[EstimatedLoss_RM]]/0.8</f>
        <v>425221.43109784345</v>
      </c>
      <c r="F146" t="s">
        <v>1944</v>
      </c>
    </row>
    <row r="147" spans="1:6" x14ac:dyDescent="0.3">
      <c r="A147" t="s">
        <v>2021</v>
      </c>
      <c r="B147" t="s">
        <v>47</v>
      </c>
      <c r="C147" s="7">
        <v>45710</v>
      </c>
      <c r="D147" s="21">
        <v>134381.48292878401</v>
      </c>
      <c r="E147">
        <f>IllegalConnections[[#This Row],[EstimatedLoss_RM]]/0.8</f>
        <v>167976.85366098001</v>
      </c>
      <c r="F147" t="s">
        <v>1949</v>
      </c>
    </row>
    <row r="148" spans="1:6" x14ac:dyDescent="0.3">
      <c r="A148" t="s">
        <v>2198</v>
      </c>
      <c r="B148" t="s">
        <v>42</v>
      </c>
      <c r="C148" s="7">
        <v>45710</v>
      </c>
      <c r="D148" s="21">
        <v>27828.199585636718</v>
      </c>
      <c r="E148">
        <f>IllegalConnections[[#This Row],[EstimatedLoss_RM]]/0.8</f>
        <v>34785.249482045896</v>
      </c>
      <c r="F148" t="s">
        <v>1949</v>
      </c>
    </row>
    <row r="149" spans="1:6" x14ac:dyDescent="0.3">
      <c r="A149" t="s">
        <v>2097</v>
      </c>
      <c r="B149" t="s">
        <v>44</v>
      </c>
      <c r="C149" s="7">
        <v>45709</v>
      </c>
      <c r="D149" s="21">
        <v>85038.581087463477</v>
      </c>
      <c r="E149">
        <f>IllegalConnections[[#This Row],[EstimatedLoss_RM]]/0.8</f>
        <v>106298.22635932935</v>
      </c>
      <c r="F149" t="s">
        <v>1949</v>
      </c>
    </row>
    <row r="150" spans="1:6" x14ac:dyDescent="0.3">
      <c r="A150" t="s">
        <v>2069</v>
      </c>
      <c r="B150" t="s">
        <v>44</v>
      </c>
      <c r="C150" s="7">
        <v>45708</v>
      </c>
      <c r="D150" s="21">
        <v>321277.64784965117</v>
      </c>
      <c r="E150">
        <f>IllegalConnections[[#This Row],[EstimatedLoss_RM]]/0.8</f>
        <v>401597.05981206393</v>
      </c>
      <c r="F150" t="s">
        <v>1944</v>
      </c>
    </row>
    <row r="151" spans="1:6" x14ac:dyDescent="0.3">
      <c r="A151" t="s">
        <v>2185</v>
      </c>
      <c r="B151" t="s">
        <v>46</v>
      </c>
      <c r="C151" s="7">
        <v>45708</v>
      </c>
      <c r="D151" s="21">
        <v>55917.400424470485</v>
      </c>
      <c r="E151">
        <f>IllegalConnections[[#This Row],[EstimatedLoss_RM]]/0.8</f>
        <v>69896.750530588106</v>
      </c>
      <c r="F151" t="s">
        <v>1949</v>
      </c>
    </row>
    <row r="152" spans="1:6" x14ac:dyDescent="0.3">
      <c r="A152" t="s">
        <v>2246</v>
      </c>
      <c r="B152" t="s">
        <v>47</v>
      </c>
      <c r="C152" s="7">
        <v>45708</v>
      </c>
      <c r="D152" s="21">
        <v>199218.70366866671</v>
      </c>
      <c r="E152">
        <f>IllegalConnections[[#This Row],[EstimatedLoss_RM]]/0.8</f>
        <v>249023.37958583338</v>
      </c>
      <c r="F152" t="s">
        <v>1949</v>
      </c>
    </row>
    <row r="153" spans="1:6" x14ac:dyDescent="0.3">
      <c r="A153" t="s">
        <v>1981</v>
      </c>
      <c r="B153" t="s">
        <v>48</v>
      </c>
      <c r="C153" s="7">
        <v>45708</v>
      </c>
      <c r="D153" s="21">
        <v>251838.1961116411</v>
      </c>
      <c r="E153">
        <f>IllegalConnections[[#This Row],[EstimatedLoss_RM]]/0.8</f>
        <v>314797.74513955135</v>
      </c>
      <c r="F153" t="s">
        <v>1947</v>
      </c>
    </row>
    <row r="154" spans="1:6" x14ac:dyDescent="0.3">
      <c r="A154" t="s">
        <v>2081</v>
      </c>
      <c r="B154" t="s">
        <v>40</v>
      </c>
      <c r="C154" s="7">
        <v>45707</v>
      </c>
      <c r="D154" s="21">
        <v>107187.47539345488</v>
      </c>
      <c r="E154">
        <f>IllegalConnections[[#This Row],[EstimatedLoss_RM]]/0.8</f>
        <v>133984.34424181859</v>
      </c>
      <c r="F154" t="s">
        <v>1947</v>
      </c>
    </row>
    <row r="155" spans="1:6" x14ac:dyDescent="0.3">
      <c r="A155" t="s">
        <v>2036</v>
      </c>
      <c r="B155" t="s">
        <v>42</v>
      </c>
      <c r="C155" s="7">
        <v>45706</v>
      </c>
      <c r="D155" s="21">
        <v>195749.4367492077</v>
      </c>
      <c r="E155">
        <f>IllegalConnections[[#This Row],[EstimatedLoss_RM]]/0.8</f>
        <v>244686.79593650962</v>
      </c>
      <c r="F155" t="s">
        <v>1947</v>
      </c>
    </row>
    <row r="156" spans="1:6" x14ac:dyDescent="0.3">
      <c r="A156" t="s">
        <v>2173</v>
      </c>
      <c r="B156" t="s">
        <v>46</v>
      </c>
      <c r="C156" s="7">
        <v>45704</v>
      </c>
      <c r="D156" s="21">
        <v>239367.1189542996</v>
      </c>
      <c r="E156">
        <f>IllegalConnections[[#This Row],[EstimatedLoss_RM]]/0.8</f>
        <v>299208.89869287447</v>
      </c>
      <c r="F156" t="s">
        <v>1944</v>
      </c>
    </row>
    <row r="157" spans="1:6" x14ac:dyDescent="0.3">
      <c r="A157" t="s">
        <v>1977</v>
      </c>
      <c r="B157" t="s">
        <v>46</v>
      </c>
      <c r="C157" s="7">
        <v>45702</v>
      </c>
      <c r="D157" s="21">
        <v>122580.26343802467</v>
      </c>
      <c r="E157">
        <f>IllegalConnections[[#This Row],[EstimatedLoss_RM]]/0.8</f>
        <v>153225.32929753084</v>
      </c>
      <c r="F157" t="s">
        <v>1944</v>
      </c>
    </row>
    <row r="158" spans="1:6" x14ac:dyDescent="0.3">
      <c r="A158" t="s">
        <v>2221</v>
      </c>
      <c r="B158" t="s">
        <v>50</v>
      </c>
      <c r="C158" s="7">
        <v>45702</v>
      </c>
      <c r="D158" s="21">
        <v>235153.79348842287</v>
      </c>
      <c r="E158">
        <f>IllegalConnections[[#This Row],[EstimatedLoss_RM]]/0.8</f>
        <v>293942.24186052859</v>
      </c>
      <c r="F158" t="s">
        <v>1944</v>
      </c>
    </row>
    <row r="159" spans="1:6" x14ac:dyDescent="0.3">
      <c r="A159" t="s">
        <v>2234</v>
      </c>
      <c r="B159" t="s">
        <v>53</v>
      </c>
      <c r="C159" s="7">
        <v>45702</v>
      </c>
      <c r="D159" s="21">
        <v>246091.24914595779</v>
      </c>
      <c r="E159">
        <f>IllegalConnections[[#This Row],[EstimatedLoss_RM]]/0.8</f>
        <v>307614.06143244723</v>
      </c>
      <c r="F159" t="s">
        <v>1949</v>
      </c>
    </row>
    <row r="160" spans="1:6" x14ac:dyDescent="0.3">
      <c r="A160" t="s">
        <v>2061</v>
      </c>
      <c r="B160" t="s">
        <v>38</v>
      </c>
      <c r="C160" s="7">
        <v>45701</v>
      </c>
      <c r="D160" s="21">
        <v>75904.630424533039</v>
      </c>
      <c r="E160">
        <f>IllegalConnections[[#This Row],[EstimatedLoss_RM]]/0.8</f>
        <v>94880.788030666299</v>
      </c>
      <c r="F160" t="s">
        <v>1944</v>
      </c>
    </row>
    <row r="161" spans="1:6" x14ac:dyDescent="0.3">
      <c r="A161" t="s">
        <v>2024</v>
      </c>
      <c r="B161" t="s">
        <v>47</v>
      </c>
      <c r="C161" s="7">
        <v>45701</v>
      </c>
      <c r="D161" s="21">
        <v>257456.82884865836</v>
      </c>
      <c r="E161">
        <f>IllegalConnections[[#This Row],[EstimatedLoss_RM]]/0.8</f>
        <v>321821.03606082295</v>
      </c>
      <c r="F161" t="s">
        <v>1949</v>
      </c>
    </row>
    <row r="162" spans="1:6" x14ac:dyDescent="0.3">
      <c r="A162" t="s">
        <v>2220</v>
      </c>
      <c r="B162" t="s">
        <v>44</v>
      </c>
      <c r="C162" s="7">
        <v>45700</v>
      </c>
      <c r="D162" s="21">
        <v>59760.131440781573</v>
      </c>
      <c r="E162">
        <f>IllegalConnections[[#This Row],[EstimatedLoss_RM]]/0.8</f>
        <v>74700.164300976961</v>
      </c>
      <c r="F162" t="s">
        <v>1949</v>
      </c>
    </row>
    <row r="163" spans="1:6" x14ac:dyDescent="0.3">
      <c r="A163" t="s">
        <v>2116</v>
      </c>
      <c r="B163" t="s">
        <v>48</v>
      </c>
      <c r="C163" s="7">
        <v>45699</v>
      </c>
      <c r="D163" s="21">
        <v>305388.13752478233</v>
      </c>
      <c r="E163">
        <f>IllegalConnections[[#This Row],[EstimatedLoss_RM]]/0.8</f>
        <v>381735.17190597788</v>
      </c>
      <c r="F163" t="s">
        <v>1949</v>
      </c>
    </row>
    <row r="164" spans="1:6" x14ac:dyDescent="0.3">
      <c r="A164" t="s">
        <v>2236</v>
      </c>
      <c r="B164" t="s">
        <v>48</v>
      </c>
      <c r="C164" s="7">
        <v>45696</v>
      </c>
      <c r="D164" s="21">
        <v>75659.207256605354</v>
      </c>
      <c r="E164">
        <f>IllegalConnections[[#This Row],[EstimatedLoss_RM]]/0.8</f>
        <v>94574.009070756685</v>
      </c>
      <c r="F164" t="s">
        <v>1947</v>
      </c>
    </row>
    <row r="165" spans="1:6" x14ac:dyDescent="0.3">
      <c r="A165" t="s">
        <v>2126</v>
      </c>
      <c r="B165" t="s">
        <v>52</v>
      </c>
      <c r="C165" s="7">
        <v>45694</v>
      </c>
      <c r="D165" s="21">
        <v>288911.30605528469</v>
      </c>
      <c r="E165">
        <f>IllegalConnections[[#This Row],[EstimatedLoss_RM]]/0.8</f>
        <v>361139.13256910583</v>
      </c>
      <c r="F165" t="s">
        <v>1944</v>
      </c>
    </row>
    <row r="166" spans="1:6" x14ac:dyDescent="0.3">
      <c r="A166" t="s">
        <v>2207</v>
      </c>
      <c r="B166" t="s">
        <v>45</v>
      </c>
      <c r="C166" s="7">
        <v>45688</v>
      </c>
      <c r="D166" s="21">
        <v>29388.19451050452</v>
      </c>
      <c r="E166">
        <f>IllegalConnections[[#This Row],[EstimatedLoss_RM]]/0.8</f>
        <v>36735.243138130645</v>
      </c>
      <c r="F166" t="s">
        <v>1944</v>
      </c>
    </row>
    <row r="167" spans="1:6" x14ac:dyDescent="0.3">
      <c r="A167" t="s">
        <v>1951</v>
      </c>
      <c r="B167" t="s">
        <v>40</v>
      </c>
      <c r="C167" s="7">
        <v>45688</v>
      </c>
      <c r="D167" s="21">
        <v>123372.55938882913</v>
      </c>
      <c r="E167">
        <f>IllegalConnections[[#This Row],[EstimatedLoss_RM]]/0.8</f>
        <v>154215.69923603639</v>
      </c>
      <c r="F167" t="s">
        <v>1949</v>
      </c>
    </row>
    <row r="168" spans="1:6" x14ac:dyDescent="0.3">
      <c r="A168" t="s">
        <v>1998</v>
      </c>
      <c r="B168" t="s">
        <v>41</v>
      </c>
      <c r="C168" s="7">
        <v>45685</v>
      </c>
      <c r="D168" s="21">
        <v>294251.99295512773</v>
      </c>
      <c r="E168">
        <f>IllegalConnections[[#This Row],[EstimatedLoss_RM]]/0.8</f>
        <v>367814.99119390966</v>
      </c>
      <c r="F168" t="s">
        <v>1947</v>
      </c>
    </row>
    <row r="169" spans="1:6" x14ac:dyDescent="0.3">
      <c r="A169" t="s">
        <v>1968</v>
      </c>
      <c r="B169" t="s">
        <v>50</v>
      </c>
      <c r="C169" s="7">
        <v>45683</v>
      </c>
      <c r="D169" s="21">
        <v>122710.08081526928</v>
      </c>
      <c r="E169">
        <f>IllegalConnections[[#This Row],[EstimatedLoss_RM]]/0.8</f>
        <v>153387.60101908658</v>
      </c>
      <c r="F169" t="s">
        <v>1944</v>
      </c>
    </row>
    <row r="170" spans="1:6" x14ac:dyDescent="0.3">
      <c r="A170" t="s">
        <v>2149</v>
      </c>
      <c r="B170" t="s">
        <v>43</v>
      </c>
      <c r="C170" s="7">
        <v>45682</v>
      </c>
      <c r="D170" s="21">
        <v>78277.145481081287</v>
      </c>
      <c r="E170">
        <f>IllegalConnections[[#This Row],[EstimatedLoss_RM]]/0.8</f>
        <v>97846.431851351605</v>
      </c>
      <c r="F170" t="s">
        <v>1947</v>
      </c>
    </row>
    <row r="171" spans="1:6" x14ac:dyDescent="0.3">
      <c r="A171" t="s">
        <v>2181</v>
      </c>
      <c r="B171" t="s">
        <v>40</v>
      </c>
      <c r="C171" s="7">
        <v>45681</v>
      </c>
      <c r="D171" s="21">
        <v>47089.955421708109</v>
      </c>
      <c r="E171">
        <f>IllegalConnections[[#This Row],[EstimatedLoss_RM]]/0.8</f>
        <v>58862.444277135131</v>
      </c>
      <c r="F171" t="s">
        <v>1944</v>
      </c>
    </row>
    <row r="172" spans="1:6" x14ac:dyDescent="0.3">
      <c r="A172" t="s">
        <v>1956</v>
      </c>
      <c r="B172" t="s">
        <v>42</v>
      </c>
      <c r="C172" s="7">
        <v>45680</v>
      </c>
      <c r="D172" s="21">
        <v>46119.468039401603</v>
      </c>
      <c r="E172">
        <f>IllegalConnections[[#This Row],[EstimatedLoss_RM]]/0.8</f>
        <v>57649.335049252004</v>
      </c>
      <c r="F172" t="s">
        <v>1944</v>
      </c>
    </row>
    <row r="173" spans="1:6" x14ac:dyDescent="0.3">
      <c r="A173" t="s">
        <v>1958</v>
      </c>
      <c r="B173" t="s">
        <v>53</v>
      </c>
      <c r="C173" s="7">
        <v>45680</v>
      </c>
      <c r="D173" s="21">
        <v>64054.626929903905</v>
      </c>
      <c r="E173">
        <f>IllegalConnections[[#This Row],[EstimatedLoss_RM]]/0.8</f>
        <v>80068.283662379879</v>
      </c>
      <c r="F173" t="s">
        <v>1947</v>
      </c>
    </row>
    <row r="174" spans="1:6" x14ac:dyDescent="0.3">
      <c r="A174" t="s">
        <v>2074</v>
      </c>
      <c r="B174" t="s">
        <v>40</v>
      </c>
      <c r="C174" s="7">
        <v>45679</v>
      </c>
      <c r="D174" s="21">
        <v>295381.67743689736</v>
      </c>
      <c r="E174">
        <f>IllegalConnections[[#This Row],[EstimatedLoss_RM]]/0.8</f>
        <v>369227.09679612168</v>
      </c>
      <c r="F174" t="s">
        <v>1949</v>
      </c>
    </row>
    <row r="175" spans="1:6" x14ac:dyDescent="0.3">
      <c r="A175" t="s">
        <v>2175</v>
      </c>
      <c r="B175" t="s">
        <v>47</v>
      </c>
      <c r="C175" s="7">
        <v>45675</v>
      </c>
      <c r="D175" s="21">
        <v>315757.539669469</v>
      </c>
      <c r="E175">
        <f>IllegalConnections[[#This Row],[EstimatedLoss_RM]]/0.8</f>
        <v>394696.92458683625</v>
      </c>
      <c r="F175" t="s">
        <v>1949</v>
      </c>
    </row>
    <row r="176" spans="1:6" x14ac:dyDescent="0.3">
      <c r="A176" t="s">
        <v>2009</v>
      </c>
      <c r="B176" t="s">
        <v>44</v>
      </c>
      <c r="C176" s="7">
        <v>45675</v>
      </c>
      <c r="D176" s="21">
        <v>269774.44820110966</v>
      </c>
      <c r="E176">
        <f>IllegalConnections[[#This Row],[EstimatedLoss_RM]]/0.8</f>
        <v>337218.06025138707</v>
      </c>
      <c r="F176" t="s">
        <v>1947</v>
      </c>
    </row>
    <row r="177" spans="1:6" x14ac:dyDescent="0.3">
      <c r="A177" t="s">
        <v>2112</v>
      </c>
      <c r="B177" t="s">
        <v>52</v>
      </c>
      <c r="C177" s="7">
        <v>45675</v>
      </c>
      <c r="D177" s="21">
        <v>124422.16704631946</v>
      </c>
      <c r="E177">
        <f>IllegalConnections[[#This Row],[EstimatedLoss_RM]]/0.8</f>
        <v>155527.70880789933</v>
      </c>
      <c r="F177" t="s">
        <v>1947</v>
      </c>
    </row>
    <row r="178" spans="1:6" x14ac:dyDescent="0.3">
      <c r="A178" t="s">
        <v>2197</v>
      </c>
      <c r="B178" t="s">
        <v>42</v>
      </c>
      <c r="C178" s="7">
        <v>45674</v>
      </c>
      <c r="D178" s="21">
        <v>301543.9033598926</v>
      </c>
      <c r="E178">
        <f>IllegalConnections[[#This Row],[EstimatedLoss_RM]]/0.8</f>
        <v>376929.87919986574</v>
      </c>
      <c r="F178" t="s">
        <v>1944</v>
      </c>
    </row>
    <row r="179" spans="1:6" x14ac:dyDescent="0.3">
      <c r="A179" t="s">
        <v>1965</v>
      </c>
      <c r="B179" t="s">
        <v>44</v>
      </c>
      <c r="C179" s="7">
        <v>45674</v>
      </c>
      <c r="D179" s="21">
        <v>167838.97394135915</v>
      </c>
      <c r="E179">
        <f>IllegalConnections[[#This Row],[EstimatedLoss_RM]]/0.8</f>
        <v>209798.71742669892</v>
      </c>
      <c r="F179" t="s">
        <v>1949</v>
      </c>
    </row>
    <row r="180" spans="1:6" x14ac:dyDescent="0.3">
      <c r="A180" t="s">
        <v>2169</v>
      </c>
      <c r="B180" t="s">
        <v>53</v>
      </c>
      <c r="C180" s="7">
        <v>45673</v>
      </c>
      <c r="D180" s="21">
        <v>202357.27790082892</v>
      </c>
      <c r="E180">
        <f>IllegalConnections[[#This Row],[EstimatedLoss_RM]]/0.8</f>
        <v>252946.59737603614</v>
      </c>
      <c r="F180" t="s">
        <v>1947</v>
      </c>
    </row>
    <row r="181" spans="1:6" x14ac:dyDescent="0.3">
      <c r="A181" t="s">
        <v>2026</v>
      </c>
      <c r="B181" t="s">
        <v>45</v>
      </c>
      <c r="C181" s="7">
        <v>45672</v>
      </c>
      <c r="D181" s="21">
        <v>139872.7579862308</v>
      </c>
      <c r="E181">
        <f>IllegalConnections[[#This Row],[EstimatedLoss_RM]]/0.8</f>
        <v>174840.9474827885</v>
      </c>
      <c r="F181" t="s">
        <v>1944</v>
      </c>
    </row>
    <row r="182" spans="1:6" x14ac:dyDescent="0.3">
      <c r="A182" t="s">
        <v>1959</v>
      </c>
      <c r="B182" t="s">
        <v>38</v>
      </c>
      <c r="C182" s="7">
        <v>45671</v>
      </c>
      <c r="D182" s="21">
        <v>318442.98293011216</v>
      </c>
      <c r="E182">
        <f>IllegalConnections[[#This Row],[EstimatedLoss_RM]]/0.8</f>
        <v>398053.72866264021</v>
      </c>
      <c r="F182" t="s">
        <v>1949</v>
      </c>
    </row>
    <row r="183" spans="1:6" x14ac:dyDescent="0.3">
      <c r="A183" t="s">
        <v>2218</v>
      </c>
      <c r="B183" t="s">
        <v>44</v>
      </c>
      <c r="C183" s="7">
        <v>45671</v>
      </c>
      <c r="D183" s="21">
        <v>286821.24628164654</v>
      </c>
      <c r="E183">
        <f>IllegalConnections[[#This Row],[EstimatedLoss_RM]]/0.8</f>
        <v>358526.55785205815</v>
      </c>
      <c r="F183" t="s">
        <v>1949</v>
      </c>
    </row>
    <row r="184" spans="1:6" x14ac:dyDescent="0.3">
      <c r="A184" t="s">
        <v>2200</v>
      </c>
      <c r="B184" t="s">
        <v>47</v>
      </c>
      <c r="C184" s="7">
        <v>45664</v>
      </c>
      <c r="D184" s="21">
        <v>298802.02370261576</v>
      </c>
      <c r="E184">
        <f>IllegalConnections[[#This Row],[EstimatedLoss_RM]]/0.8</f>
        <v>373502.52962826967</v>
      </c>
      <c r="F184" t="s">
        <v>1944</v>
      </c>
    </row>
    <row r="185" spans="1:6" x14ac:dyDescent="0.3">
      <c r="A185" t="s">
        <v>2020</v>
      </c>
      <c r="B185" t="s">
        <v>49</v>
      </c>
      <c r="C185" s="7">
        <v>45659</v>
      </c>
      <c r="D185" s="21">
        <v>319252.77006437693</v>
      </c>
      <c r="E185">
        <f>IllegalConnections[[#This Row],[EstimatedLoss_RM]]/0.8</f>
        <v>399065.96258047112</v>
      </c>
      <c r="F185" t="s">
        <v>1949</v>
      </c>
    </row>
    <row r="186" spans="1:6" x14ac:dyDescent="0.3">
      <c r="A186" t="s">
        <v>2114</v>
      </c>
      <c r="B186" t="s">
        <v>52</v>
      </c>
      <c r="C186" s="7">
        <v>45657</v>
      </c>
      <c r="D186" s="21">
        <v>172603.13503636536</v>
      </c>
      <c r="E186">
        <f>IllegalConnections[[#This Row],[EstimatedLoss_RM]]/0.8</f>
        <v>215753.9187954567</v>
      </c>
      <c r="F186" t="s">
        <v>1947</v>
      </c>
    </row>
    <row r="187" spans="1:6" x14ac:dyDescent="0.3">
      <c r="A187" t="s">
        <v>2139</v>
      </c>
      <c r="B187" t="s">
        <v>40</v>
      </c>
      <c r="C187" s="7">
        <v>45652</v>
      </c>
      <c r="D187" s="21">
        <v>55830.08115703964</v>
      </c>
      <c r="E187">
        <f>IllegalConnections[[#This Row],[EstimatedLoss_RM]]/0.8</f>
        <v>69787.601446299552</v>
      </c>
      <c r="F187" t="s">
        <v>1949</v>
      </c>
    </row>
    <row r="188" spans="1:6" x14ac:dyDescent="0.3">
      <c r="A188" t="s">
        <v>2187</v>
      </c>
      <c r="B188" t="s">
        <v>52</v>
      </c>
      <c r="C188" s="7">
        <v>45652</v>
      </c>
      <c r="D188" s="21">
        <v>75675.05864161627</v>
      </c>
      <c r="E188">
        <f>IllegalConnections[[#This Row],[EstimatedLoss_RM]]/0.8</f>
        <v>94593.823302020333</v>
      </c>
      <c r="F188" t="s">
        <v>1949</v>
      </c>
    </row>
    <row r="189" spans="1:6" x14ac:dyDescent="0.3">
      <c r="A189" t="s">
        <v>2120</v>
      </c>
      <c r="B189" t="s">
        <v>53</v>
      </c>
      <c r="C189" s="7">
        <v>45649</v>
      </c>
      <c r="D189" s="21">
        <v>272664.8662679285</v>
      </c>
      <c r="E189">
        <f>IllegalConnections[[#This Row],[EstimatedLoss_RM]]/0.8</f>
        <v>340831.0828349106</v>
      </c>
      <c r="F189" t="s">
        <v>1949</v>
      </c>
    </row>
    <row r="190" spans="1:6" x14ac:dyDescent="0.3">
      <c r="A190" t="s">
        <v>1985</v>
      </c>
      <c r="B190" t="s">
        <v>50</v>
      </c>
      <c r="C190" s="7">
        <v>45649</v>
      </c>
      <c r="D190" s="21">
        <v>146130.77546864547</v>
      </c>
      <c r="E190">
        <f>IllegalConnections[[#This Row],[EstimatedLoss_RM]]/0.8</f>
        <v>182663.46933580682</v>
      </c>
      <c r="F190" t="s">
        <v>1947</v>
      </c>
    </row>
    <row r="191" spans="1:6" x14ac:dyDescent="0.3">
      <c r="A191" t="s">
        <v>2226</v>
      </c>
      <c r="B191" t="s">
        <v>46</v>
      </c>
      <c r="C191" s="7">
        <v>45646</v>
      </c>
      <c r="D191" s="21">
        <v>36398.196231842419</v>
      </c>
      <c r="E191">
        <f>IllegalConnections[[#This Row],[EstimatedLoss_RM]]/0.8</f>
        <v>45497.745289803024</v>
      </c>
      <c r="F191" t="s">
        <v>1947</v>
      </c>
    </row>
    <row r="192" spans="1:6" x14ac:dyDescent="0.3">
      <c r="A192" t="s">
        <v>2189</v>
      </c>
      <c r="B192" t="s">
        <v>45</v>
      </c>
      <c r="C192" s="7">
        <v>45645</v>
      </c>
      <c r="D192" s="21">
        <v>293100.30784416193</v>
      </c>
      <c r="E192">
        <f>IllegalConnections[[#This Row],[EstimatedLoss_RM]]/0.8</f>
        <v>366375.38480520237</v>
      </c>
      <c r="F192" t="s">
        <v>1949</v>
      </c>
    </row>
    <row r="193" spans="1:6" x14ac:dyDescent="0.3">
      <c r="A193" t="s">
        <v>2095</v>
      </c>
      <c r="B193" t="s">
        <v>41</v>
      </c>
      <c r="C193" s="7">
        <v>45645</v>
      </c>
      <c r="D193" s="21">
        <v>331511.4933225204</v>
      </c>
      <c r="E193">
        <f>IllegalConnections[[#This Row],[EstimatedLoss_RM]]/0.8</f>
        <v>414389.36665315047</v>
      </c>
      <c r="F193" t="s">
        <v>1947</v>
      </c>
    </row>
    <row r="194" spans="1:6" x14ac:dyDescent="0.3">
      <c r="A194" t="s">
        <v>2219</v>
      </c>
      <c r="B194" t="s">
        <v>43</v>
      </c>
      <c r="C194" s="7">
        <v>45645</v>
      </c>
      <c r="D194" s="21">
        <v>159127.40802902143</v>
      </c>
      <c r="E194">
        <f>IllegalConnections[[#This Row],[EstimatedLoss_RM]]/0.8</f>
        <v>198909.26003627677</v>
      </c>
      <c r="F194" t="s">
        <v>1947</v>
      </c>
    </row>
    <row r="195" spans="1:6" x14ac:dyDescent="0.3">
      <c r="A195" t="s">
        <v>2085</v>
      </c>
      <c r="B195" t="s">
        <v>49</v>
      </c>
      <c r="C195" s="7">
        <v>45642</v>
      </c>
      <c r="D195" s="21">
        <v>246950.77683318788</v>
      </c>
      <c r="E195">
        <f>IllegalConnections[[#This Row],[EstimatedLoss_RM]]/0.8</f>
        <v>308688.47104148485</v>
      </c>
      <c r="F195" t="s">
        <v>1947</v>
      </c>
    </row>
    <row r="196" spans="1:6" x14ac:dyDescent="0.3">
      <c r="A196" t="s">
        <v>2115</v>
      </c>
      <c r="B196" t="s">
        <v>40</v>
      </c>
      <c r="C196" s="7">
        <v>45640</v>
      </c>
      <c r="D196" s="21">
        <v>192803.40218497987</v>
      </c>
      <c r="E196">
        <f>IllegalConnections[[#This Row],[EstimatedLoss_RM]]/0.8</f>
        <v>241004.25273122484</v>
      </c>
      <c r="F196" t="s">
        <v>1944</v>
      </c>
    </row>
    <row r="197" spans="1:6" x14ac:dyDescent="0.3">
      <c r="A197" t="s">
        <v>2029</v>
      </c>
      <c r="B197" t="s">
        <v>53</v>
      </c>
      <c r="C197" s="7">
        <v>45637</v>
      </c>
      <c r="D197" s="21">
        <v>199853.0323688451</v>
      </c>
      <c r="E197">
        <f>IllegalConnections[[#This Row],[EstimatedLoss_RM]]/0.8</f>
        <v>249816.29046105637</v>
      </c>
      <c r="F197" t="s">
        <v>1944</v>
      </c>
    </row>
    <row r="198" spans="1:6" x14ac:dyDescent="0.3">
      <c r="A198" t="s">
        <v>2006</v>
      </c>
      <c r="B198" t="s">
        <v>44</v>
      </c>
      <c r="C198" s="7">
        <v>45636</v>
      </c>
      <c r="D198" s="21">
        <v>143726.83094181697</v>
      </c>
      <c r="E198">
        <f>IllegalConnections[[#This Row],[EstimatedLoss_RM]]/0.8</f>
        <v>179658.53867727119</v>
      </c>
      <c r="F198" t="s">
        <v>1947</v>
      </c>
    </row>
    <row r="199" spans="1:6" x14ac:dyDescent="0.3">
      <c r="A199" t="s">
        <v>2096</v>
      </c>
      <c r="B199" t="s">
        <v>44</v>
      </c>
      <c r="C199" s="7">
        <v>45632</v>
      </c>
      <c r="D199" s="21">
        <v>133704.38281905031</v>
      </c>
      <c r="E199">
        <f>IllegalConnections[[#This Row],[EstimatedLoss_RM]]/0.8</f>
        <v>167130.47852381287</v>
      </c>
      <c r="F199" t="s">
        <v>1949</v>
      </c>
    </row>
    <row r="200" spans="1:6" x14ac:dyDescent="0.3">
      <c r="A200" t="s">
        <v>2109</v>
      </c>
      <c r="B200" t="s">
        <v>49</v>
      </c>
      <c r="C200" s="7">
        <v>45631</v>
      </c>
      <c r="D200" s="21">
        <v>101958.97803752532</v>
      </c>
      <c r="E200">
        <f>IllegalConnections[[#This Row],[EstimatedLoss_RM]]/0.8</f>
        <v>127448.72254690665</v>
      </c>
      <c r="F200" t="s">
        <v>1947</v>
      </c>
    </row>
    <row r="201" spans="1:6" x14ac:dyDescent="0.3">
      <c r="A201" t="s">
        <v>1961</v>
      </c>
      <c r="B201" t="s">
        <v>39</v>
      </c>
      <c r="C201" s="7">
        <v>45630</v>
      </c>
      <c r="D201" s="21">
        <v>107710.70774868602</v>
      </c>
      <c r="E201">
        <f>IllegalConnections[[#This Row],[EstimatedLoss_RM]]/0.8</f>
        <v>134638.38468585751</v>
      </c>
      <c r="F201" t="s">
        <v>1949</v>
      </c>
    </row>
    <row r="202" spans="1:6" x14ac:dyDescent="0.3">
      <c r="A202" t="s">
        <v>2183</v>
      </c>
      <c r="B202" t="s">
        <v>40</v>
      </c>
      <c r="C202" s="7">
        <v>45629</v>
      </c>
      <c r="D202" s="21">
        <v>221519.00603148658</v>
      </c>
      <c r="E202">
        <f>IllegalConnections[[#This Row],[EstimatedLoss_RM]]/0.8</f>
        <v>276898.75753935822</v>
      </c>
      <c r="F202" t="s">
        <v>1947</v>
      </c>
    </row>
    <row r="203" spans="1:6" x14ac:dyDescent="0.3">
      <c r="A203" t="s">
        <v>2015</v>
      </c>
      <c r="B203" t="s">
        <v>45</v>
      </c>
      <c r="C203" s="7">
        <v>45626</v>
      </c>
      <c r="D203" s="21">
        <v>259269.21608486385</v>
      </c>
      <c r="E203">
        <f>IllegalConnections[[#This Row],[EstimatedLoss_RM]]/0.8</f>
        <v>324086.52010607981</v>
      </c>
      <c r="F203" t="s">
        <v>1949</v>
      </c>
    </row>
    <row r="204" spans="1:6" x14ac:dyDescent="0.3">
      <c r="A204" t="s">
        <v>2191</v>
      </c>
      <c r="B204" t="s">
        <v>39</v>
      </c>
      <c r="C204" s="7">
        <v>45623</v>
      </c>
      <c r="D204" s="21">
        <v>320763.84433550417</v>
      </c>
      <c r="E204">
        <f>IllegalConnections[[#This Row],[EstimatedLoss_RM]]/0.8</f>
        <v>400954.80541938019</v>
      </c>
      <c r="F204" t="s">
        <v>1944</v>
      </c>
    </row>
    <row r="205" spans="1:6" x14ac:dyDescent="0.3">
      <c r="A205" t="s">
        <v>1987</v>
      </c>
      <c r="B205" t="s">
        <v>52</v>
      </c>
      <c r="C205" s="7">
        <v>45622</v>
      </c>
      <c r="D205" s="21">
        <v>198077.26729800965</v>
      </c>
      <c r="E205">
        <f>IllegalConnections[[#This Row],[EstimatedLoss_RM]]/0.8</f>
        <v>247596.58412251205</v>
      </c>
      <c r="F205" t="s">
        <v>1944</v>
      </c>
    </row>
    <row r="206" spans="1:6" x14ac:dyDescent="0.3">
      <c r="A206" t="s">
        <v>2013</v>
      </c>
      <c r="B206" t="s">
        <v>40</v>
      </c>
      <c r="C206" s="7">
        <v>45622</v>
      </c>
      <c r="D206" s="21">
        <v>331378.94294786017</v>
      </c>
      <c r="E206">
        <f>IllegalConnections[[#This Row],[EstimatedLoss_RM]]/0.8</f>
        <v>414223.67868482519</v>
      </c>
      <c r="F206" t="s">
        <v>1947</v>
      </c>
    </row>
    <row r="207" spans="1:6" x14ac:dyDescent="0.3">
      <c r="A207" t="s">
        <v>2210</v>
      </c>
      <c r="B207" t="s">
        <v>49</v>
      </c>
      <c r="C207" s="7">
        <v>45618</v>
      </c>
      <c r="D207" s="21">
        <v>320658.7605848714</v>
      </c>
      <c r="E207">
        <f>IllegalConnections[[#This Row],[EstimatedLoss_RM]]/0.8</f>
        <v>400823.45073108922</v>
      </c>
      <c r="F207" t="s">
        <v>1944</v>
      </c>
    </row>
    <row r="208" spans="1:6" x14ac:dyDescent="0.3">
      <c r="A208" t="s">
        <v>2014</v>
      </c>
      <c r="B208" t="s">
        <v>52</v>
      </c>
      <c r="C208" s="7">
        <v>45617</v>
      </c>
      <c r="D208" s="21">
        <v>305706.53172370855</v>
      </c>
      <c r="E208">
        <f>IllegalConnections[[#This Row],[EstimatedLoss_RM]]/0.8</f>
        <v>382133.16465463565</v>
      </c>
      <c r="F208" t="s">
        <v>1944</v>
      </c>
    </row>
    <row r="209" spans="1:6" x14ac:dyDescent="0.3">
      <c r="A209" t="s">
        <v>2129</v>
      </c>
      <c r="B209" t="s">
        <v>40</v>
      </c>
      <c r="C209" s="7">
        <v>45617</v>
      </c>
      <c r="D209" s="21">
        <v>54996.106995646136</v>
      </c>
      <c r="E209">
        <f>IllegalConnections[[#This Row],[EstimatedLoss_RM]]/0.8</f>
        <v>68745.133744557665</v>
      </c>
      <c r="F209" t="s">
        <v>1944</v>
      </c>
    </row>
    <row r="210" spans="1:6" x14ac:dyDescent="0.3">
      <c r="A210" t="s">
        <v>2237</v>
      </c>
      <c r="B210" t="s">
        <v>40</v>
      </c>
      <c r="C210" s="7">
        <v>45617</v>
      </c>
      <c r="D210" s="21">
        <v>277147.93857873249</v>
      </c>
      <c r="E210">
        <f>IllegalConnections[[#This Row],[EstimatedLoss_RM]]/0.8</f>
        <v>346434.92322341556</v>
      </c>
      <c r="F210" t="s">
        <v>1949</v>
      </c>
    </row>
    <row r="211" spans="1:6" x14ac:dyDescent="0.3">
      <c r="A211" t="s">
        <v>2192</v>
      </c>
      <c r="B211" t="s">
        <v>42</v>
      </c>
      <c r="C211" s="7">
        <v>45617</v>
      </c>
      <c r="D211" s="21">
        <v>157805.86712867138</v>
      </c>
      <c r="E211">
        <f>IllegalConnections[[#This Row],[EstimatedLoss_RM]]/0.8</f>
        <v>197257.33391083922</v>
      </c>
      <c r="F211" t="s">
        <v>1947</v>
      </c>
    </row>
    <row r="212" spans="1:6" x14ac:dyDescent="0.3">
      <c r="A212" t="s">
        <v>2128</v>
      </c>
      <c r="B212" t="s">
        <v>40</v>
      </c>
      <c r="C212" s="7">
        <v>45616</v>
      </c>
      <c r="D212" s="21">
        <v>260499.20157178876</v>
      </c>
      <c r="E212">
        <f>IllegalConnections[[#This Row],[EstimatedLoss_RM]]/0.8</f>
        <v>325624.00196473591</v>
      </c>
      <c r="F212" t="s">
        <v>1947</v>
      </c>
    </row>
    <row r="213" spans="1:6" x14ac:dyDescent="0.3">
      <c r="A213" t="s">
        <v>2156</v>
      </c>
      <c r="B213" t="s">
        <v>47</v>
      </c>
      <c r="C213" s="7">
        <v>45615</v>
      </c>
      <c r="D213" s="21">
        <v>23676.093261871105</v>
      </c>
      <c r="E213">
        <f>IllegalConnections[[#This Row],[EstimatedLoss_RM]]/0.8</f>
        <v>29595.116577338878</v>
      </c>
      <c r="F213" t="s">
        <v>1949</v>
      </c>
    </row>
    <row r="214" spans="1:6" x14ac:dyDescent="0.3">
      <c r="A214" t="s">
        <v>2125</v>
      </c>
      <c r="B214" t="s">
        <v>43</v>
      </c>
      <c r="C214" s="7">
        <v>45614</v>
      </c>
      <c r="D214" s="21">
        <v>149832.75711804925</v>
      </c>
      <c r="E214">
        <f>IllegalConnections[[#This Row],[EstimatedLoss_RM]]/0.8</f>
        <v>187290.94639756155</v>
      </c>
      <c r="F214" t="s">
        <v>1949</v>
      </c>
    </row>
    <row r="215" spans="1:6" x14ac:dyDescent="0.3">
      <c r="A215" t="s">
        <v>2010</v>
      </c>
      <c r="B215" t="s">
        <v>50</v>
      </c>
      <c r="C215" s="7">
        <v>45610</v>
      </c>
      <c r="D215" s="21">
        <v>323628.7088764864</v>
      </c>
      <c r="E215">
        <f>IllegalConnections[[#This Row],[EstimatedLoss_RM]]/0.8</f>
        <v>404535.886095608</v>
      </c>
      <c r="F215" t="s">
        <v>1949</v>
      </c>
    </row>
    <row r="216" spans="1:6" x14ac:dyDescent="0.3">
      <c r="A216" t="s">
        <v>2018</v>
      </c>
      <c r="B216" t="s">
        <v>46</v>
      </c>
      <c r="C216" s="7">
        <v>45603</v>
      </c>
      <c r="D216" s="21">
        <v>66838.594747382158</v>
      </c>
      <c r="E216">
        <f>IllegalConnections[[#This Row],[EstimatedLoss_RM]]/0.8</f>
        <v>83548.243434227697</v>
      </c>
      <c r="F216" t="s">
        <v>1949</v>
      </c>
    </row>
    <row r="217" spans="1:6" x14ac:dyDescent="0.3">
      <c r="A217" t="s">
        <v>2072</v>
      </c>
      <c r="B217" t="s">
        <v>42</v>
      </c>
      <c r="C217" s="7">
        <v>45601</v>
      </c>
      <c r="D217" s="21">
        <v>226750.64633444414</v>
      </c>
      <c r="E217">
        <f>IllegalConnections[[#This Row],[EstimatedLoss_RM]]/0.8</f>
        <v>283438.30791805516</v>
      </c>
      <c r="F217" t="s">
        <v>1944</v>
      </c>
    </row>
    <row r="218" spans="1:6" x14ac:dyDescent="0.3">
      <c r="A218" t="s">
        <v>2068</v>
      </c>
      <c r="B218" t="s">
        <v>52</v>
      </c>
      <c r="C218" s="7">
        <v>45600</v>
      </c>
      <c r="D218" s="21">
        <v>120362.43603520369</v>
      </c>
      <c r="E218">
        <f>IllegalConnections[[#This Row],[EstimatedLoss_RM]]/0.8</f>
        <v>150453.0450440046</v>
      </c>
      <c r="F218" t="s">
        <v>1944</v>
      </c>
    </row>
    <row r="219" spans="1:6" x14ac:dyDescent="0.3">
      <c r="A219" t="s">
        <v>2150</v>
      </c>
      <c r="B219" t="s">
        <v>50</v>
      </c>
      <c r="C219" s="7">
        <v>45600</v>
      </c>
      <c r="D219" s="21">
        <v>258279.46107077683</v>
      </c>
      <c r="E219">
        <f>IllegalConnections[[#This Row],[EstimatedLoss_RM]]/0.8</f>
        <v>322849.32633847103</v>
      </c>
      <c r="F219" t="s">
        <v>1949</v>
      </c>
    </row>
    <row r="220" spans="1:6" x14ac:dyDescent="0.3">
      <c r="A220" t="s">
        <v>2092</v>
      </c>
      <c r="B220" t="s">
        <v>53</v>
      </c>
      <c r="C220" s="7">
        <v>45599</v>
      </c>
      <c r="D220" s="21">
        <v>307486.66959040909</v>
      </c>
      <c r="E220">
        <f>IllegalConnections[[#This Row],[EstimatedLoss_RM]]/0.8</f>
        <v>384358.33698801132</v>
      </c>
      <c r="F220" t="s">
        <v>1944</v>
      </c>
    </row>
    <row r="221" spans="1:6" x14ac:dyDescent="0.3">
      <c r="A221" t="s">
        <v>2100</v>
      </c>
      <c r="B221" t="s">
        <v>46</v>
      </c>
      <c r="C221" s="7">
        <v>45598</v>
      </c>
      <c r="D221" s="21">
        <v>97342.94540244872</v>
      </c>
      <c r="E221">
        <f>IllegalConnections[[#This Row],[EstimatedLoss_RM]]/0.8</f>
        <v>121678.6817530609</v>
      </c>
      <c r="F221" t="s">
        <v>1947</v>
      </c>
    </row>
    <row r="222" spans="1:6" x14ac:dyDescent="0.3">
      <c r="A222" t="s">
        <v>2105</v>
      </c>
      <c r="B222" t="s">
        <v>44</v>
      </c>
      <c r="C222" s="7">
        <v>45596</v>
      </c>
      <c r="D222" s="21">
        <v>168291.69496326588</v>
      </c>
      <c r="E222">
        <f>IllegalConnections[[#This Row],[EstimatedLoss_RM]]/0.8</f>
        <v>210364.61870408233</v>
      </c>
      <c r="F222" t="s">
        <v>1944</v>
      </c>
    </row>
    <row r="223" spans="1:6" x14ac:dyDescent="0.3">
      <c r="A223" t="s">
        <v>1948</v>
      </c>
      <c r="B223" t="s">
        <v>46</v>
      </c>
      <c r="C223" s="7">
        <v>45596</v>
      </c>
      <c r="D223" s="21">
        <v>108900.65482347131</v>
      </c>
      <c r="E223">
        <f>IllegalConnections[[#This Row],[EstimatedLoss_RM]]/0.8</f>
        <v>136125.81852933913</v>
      </c>
      <c r="F223" t="s">
        <v>1949</v>
      </c>
    </row>
    <row r="224" spans="1:6" x14ac:dyDescent="0.3">
      <c r="A224" t="s">
        <v>2196</v>
      </c>
      <c r="B224" t="s">
        <v>46</v>
      </c>
      <c r="C224" s="7">
        <v>45593</v>
      </c>
      <c r="D224" s="21">
        <v>285786.12351045926</v>
      </c>
      <c r="E224">
        <f>IllegalConnections[[#This Row],[EstimatedLoss_RM]]/0.8</f>
        <v>357232.65438807406</v>
      </c>
      <c r="F224" t="s">
        <v>1949</v>
      </c>
    </row>
    <row r="225" spans="1:6" x14ac:dyDescent="0.3">
      <c r="A225" t="s">
        <v>1994</v>
      </c>
      <c r="B225" t="s">
        <v>42</v>
      </c>
      <c r="C225" s="7">
        <v>45583</v>
      </c>
      <c r="D225" s="21">
        <v>103218.34324666877</v>
      </c>
      <c r="E225">
        <f>IllegalConnections[[#This Row],[EstimatedLoss_RM]]/0.8</f>
        <v>129022.92905833595</v>
      </c>
      <c r="F225" t="s">
        <v>1944</v>
      </c>
    </row>
    <row r="226" spans="1:6" x14ac:dyDescent="0.3">
      <c r="A226" t="s">
        <v>2123</v>
      </c>
      <c r="B226" t="s">
        <v>47</v>
      </c>
      <c r="C226" s="7">
        <v>45582</v>
      </c>
      <c r="D226" s="21">
        <v>326991.25224686327</v>
      </c>
      <c r="E226">
        <f>IllegalConnections[[#This Row],[EstimatedLoss_RM]]/0.8</f>
        <v>408739.06530857907</v>
      </c>
      <c r="F226" t="s">
        <v>1944</v>
      </c>
    </row>
    <row r="227" spans="1:6" x14ac:dyDescent="0.3">
      <c r="A227" t="s">
        <v>2171</v>
      </c>
      <c r="B227" t="s">
        <v>53</v>
      </c>
      <c r="C227" s="7">
        <v>45581</v>
      </c>
      <c r="D227" s="21">
        <v>201748.50272648709</v>
      </c>
      <c r="E227">
        <f>IllegalConnections[[#This Row],[EstimatedLoss_RM]]/0.8</f>
        <v>252185.62840810884</v>
      </c>
      <c r="F227" t="s">
        <v>1949</v>
      </c>
    </row>
    <row r="228" spans="1:6" x14ac:dyDescent="0.3">
      <c r="A228" t="s">
        <v>1992</v>
      </c>
      <c r="B228" t="s">
        <v>52</v>
      </c>
      <c r="C228" s="7">
        <v>45579</v>
      </c>
      <c r="D228" s="21">
        <v>84168.121410570689</v>
      </c>
      <c r="E228">
        <f>IllegalConnections[[#This Row],[EstimatedLoss_RM]]/0.8</f>
        <v>105210.15176321336</v>
      </c>
      <c r="F228" t="s">
        <v>1947</v>
      </c>
    </row>
    <row r="229" spans="1:6" x14ac:dyDescent="0.3">
      <c r="A229" t="s">
        <v>2135</v>
      </c>
      <c r="B229" t="s">
        <v>47</v>
      </c>
      <c r="C229" s="7">
        <v>45578</v>
      </c>
      <c r="D229" s="21">
        <v>141984.54508932357</v>
      </c>
      <c r="E229">
        <f>IllegalConnections[[#This Row],[EstimatedLoss_RM]]/0.8</f>
        <v>177480.68136165445</v>
      </c>
      <c r="F229" t="s">
        <v>1944</v>
      </c>
    </row>
    <row r="230" spans="1:6" x14ac:dyDescent="0.3">
      <c r="A230" t="s">
        <v>1978</v>
      </c>
      <c r="B230" t="s">
        <v>42</v>
      </c>
      <c r="C230" s="7">
        <v>45578</v>
      </c>
      <c r="D230" s="21">
        <v>251531.28050186069</v>
      </c>
      <c r="E230">
        <f>IllegalConnections[[#This Row],[EstimatedLoss_RM]]/0.8</f>
        <v>314414.10062732582</v>
      </c>
      <c r="F230" t="s">
        <v>1949</v>
      </c>
    </row>
    <row r="231" spans="1:6" x14ac:dyDescent="0.3">
      <c r="A231" t="s">
        <v>2127</v>
      </c>
      <c r="B231" t="s">
        <v>49</v>
      </c>
      <c r="C231" s="7">
        <v>45577</v>
      </c>
      <c r="D231" s="21">
        <v>62702.203158756682</v>
      </c>
      <c r="E231">
        <f>IllegalConnections[[#This Row],[EstimatedLoss_RM]]/0.8</f>
        <v>78377.753948445854</v>
      </c>
      <c r="F231" t="s">
        <v>1947</v>
      </c>
    </row>
    <row r="232" spans="1:6" x14ac:dyDescent="0.3">
      <c r="A232" t="s">
        <v>2047</v>
      </c>
      <c r="B232" t="s">
        <v>44</v>
      </c>
      <c r="C232" s="7">
        <v>45576</v>
      </c>
      <c r="D232" s="21">
        <v>325663.97205194028</v>
      </c>
      <c r="E232">
        <f>IllegalConnections[[#This Row],[EstimatedLoss_RM]]/0.8</f>
        <v>407079.96506492532</v>
      </c>
      <c r="F232" t="s">
        <v>1947</v>
      </c>
    </row>
    <row r="233" spans="1:6" x14ac:dyDescent="0.3">
      <c r="A233" t="s">
        <v>1989</v>
      </c>
      <c r="B233" t="s">
        <v>45</v>
      </c>
      <c r="C233" s="7">
        <v>45571</v>
      </c>
      <c r="D233" s="21">
        <v>127400.3143301815</v>
      </c>
      <c r="E233">
        <f>IllegalConnections[[#This Row],[EstimatedLoss_RM]]/0.8</f>
        <v>159250.39291272688</v>
      </c>
      <c r="F233" t="s">
        <v>1944</v>
      </c>
    </row>
    <row r="234" spans="1:6" x14ac:dyDescent="0.3">
      <c r="A234" t="s">
        <v>2195</v>
      </c>
      <c r="B234" t="s">
        <v>53</v>
      </c>
      <c r="C234" s="7">
        <v>45570</v>
      </c>
      <c r="D234" s="21">
        <v>162438.43439811282</v>
      </c>
      <c r="E234">
        <f>IllegalConnections[[#This Row],[EstimatedLoss_RM]]/0.8</f>
        <v>203048.04299764102</v>
      </c>
      <c r="F234" t="s">
        <v>1947</v>
      </c>
    </row>
    <row r="235" spans="1:6" x14ac:dyDescent="0.3">
      <c r="A235" t="s">
        <v>2151</v>
      </c>
      <c r="B235" t="s">
        <v>42</v>
      </c>
      <c r="C235" s="7">
        <v>45562</v>
      </c>
      <c r="D235" s="21">
        <v>202831.86290206102</v>
      </c>
      <c r="E235">
        <f>IllegalConnections[[#This Row],[EstimatedLoss_RM]]/0.8</f>
        <v>253539.82862757627</v>
      </c>
      <c r="F235" t="s">
        <v>1947</v>
      </c>
    </row>
    <row r="236" spans="1:6" x14ac:dyDescent="0.3">
      <c r="A236" t="s">
        <v>2146</v>
      </c>
      <c r="B236" t="s">
        <v>53</v>
      </c>
      <c r="C236" s="7">
        <v>45560</v>
      </c>
      <c r="D236" s="21">
        <v>85500.867600325044</v>
      </c>
      <c r="E236">
        <f>IllegalConnections[[#This Row],[EstimatedLoss_RM]]/0.8</f>
        <v>106876.0845004063</v>
      </c>
      <c r="F236" t="s">
        <v>1949</v>
      </c>
    </row>
    <row r="237" spans="1:6" x14ac:dyDescent="0.3">
      <c r="A237" t="s">
        <v>1979</v>
      </c>
      <c r="B237" t="s">
        <v>47</v>
      </c>
      <c r="C237" s="7">
        <v>45558</v>
      </c>
      <c r="D237" s="21">
        <v>337179.86661250301</v>
      </c>
      <c r="E237">
        <f>IllegalConnections[[#This Row],[EstimatedLoss_RM]]/0.8</f>
        <v>421474.83326562872</v>
      </c>
      <c r="F237" t="s">
        <v>1944</v>
      </c>
    </row>
    <row r="238" spans="1:6" x14ac:dyDescent="0.3">
      <c r="A238" t="s">
        <v>1986</v>
      </c>
      <c r="B238" t="s">
        <v>39</v>
      </c>
      <c r="C238" s="7">
        <v>45550</v>
      </c>
      <c r="D238" s="21">
        <v>218517.62826959128</v>
      </c>
      <c r="E238">
        <f>IllegalConnections[[#This Row],[EstimatedLoss_RM]]/0.8</f>
        <v>273147.03533698909</v>
      </c>
      <c r="F238" t="s">
        <v>1944</v>
      </c>
    </row>
    <row r="239" spans="1:6" x14ac:dyDescent="0.3">
      <c r="A239" t="s">
        <v>2031</v>
      </c>
      <c r="B239" t="s">
        <v>48</v>
      </c>
      <c r="C239" s="7">
        <v>45550</v>
      </c>
      <c r="D239" s="21">
        <v>77805.293477264859</v>
      </c>
      <c r="E239">
        <f>IllegalConnections[[#This Row],[EstimatedLoss_RM]]/0.8</f>
        <v>97256.616846581062</v>
      </c>
      <c r="F239" t="s">
        <v>1944</v>
      </c>
    </row>
    <row r="240" spans="1:6" x14ac:dyDescent="0.3">
      <c r="A240" t="s">
        <v>2091</v>
      </c>
      <c r="B240" t="s">
        <v>45</v>
      </c>
      <c r="C240" s="7">
        <v>45542</v>
      </c>
      <c r="D240" s="21">
        <v>166447.74160690935</v>
      </c>
      <c r="E240">
        <f>IllegalConnections[[#This Row],[EstimatedLoss_RM]]/0.8</f>
        <v>208059.67700863667</v>
      </c>
      <c r="F240" t="s">
        <v>1944</v>
      </c>
    </row>
    <row r="241" spans="1:6" x14ac:dyDescent="0.3">
      <c r="A241" t="s">
        <v>2101</v>
      </c>
      <c r="B241" t="s">
        <v>46</v>
      </c>
      <c r="C241" s="7">
        <v>45541</v>
      </c>
      <c r="D241" s="21">
        <v>99550.797364702506</v>
      </c>
      <c r="E241">
        <f>IllegalConnections[[#This Row],[EstimatedLoss_RM]]/0.8</f>
        <v>124438.49670587813</v>
      </c>
      <c r="F241" t="s">
        <v>1949</v>
      </c>
    </row>
    <row r="242" spans="1:6" x14ac:dyDescent="0.3">
      <c r="A242" t="s">
        <v>1971</v>
      </c>
      <c r="B242" t="s">
        <v>41</v>
      </c>
      <c r="C242" s="7">
        <v>45538</v>
      </c>
      <c r="D242" s="21">
        <v>167524.95253829801</v>
      </c>
      <c r="E242">
        <f>IllegalConnections[[#This Row],[EstimatedLoss_RM]]/0.8</f>
        <v>209406.1906728725</v>
      </c>
      <c r="F242" t="s">
        <v>1949</v>
      </c>
    </row>
    <row r="243" spans="1:6" x14ac:dyDescent="0.3">
      <c r="A243" t="s">
        <v>2086</v>
      </c>
      <c r="B243" t="s">
        <v>48</v>
      </c>
      <c r="C243" s="7">
        <v>45535</v>
      </c>
      <c r="D243" s="21">
        <v>327403.38825714716</v>
      </c>
      <c r="E243">
        <f>IllegalConnections[[#This Row],[EstimatedLoss_RM]]/0.8</f>
        <v>409254.23532143392</v>
      </c>
      <c r="F243" t="s">
        <v>1944</v>
      </c>
    </row>
    <row r="244" spans="1:6" x14ac:dyDescent="0.3">
      <c r="A244" t="s">
        <v>2025</v>
      </c>
      <c r="B244" t="s">
        <v>40</v>
      </c>
      <c r="C244" s="7">
        <v>45535</v>
      </c>
      <c r="D244" s="21">
        <v>185288.2058913543</v>
      </c>
      <c r="E244">
        <f>IllegalConnections[[#This Row],[EstimatedLoss_RM]]/0.8</f>
        <v>231610.25736419286</v>
      </c>
      <c r="F244" t="s">
        <v>1947</v>
      </c>
    </row>
    <row r="245" spans="1:6" x14ac:dyDescent="0.3">
      <c r="A245" t="s">
        <v>2103</v>
      </c>
      <c r="B245" t="s">
        <v>52</v>
      </c>
      <c r="C245" s="7">
        <v>45534</v>
      </c>
      <c r="D245" s="21">
        <v>35710.164132446014</v>
      </c>
      <c r="E245">
        <f>IllegalConnections[[#This Row],[EstimatedLoss_RM]]/0.8</f>
        <v>44637.705165557512</v>
      </c>
      <c r="F245" t="s">
        <v>1944</v>
      </c>
    </row>
    <row r="246" spans="1:6" x14ac:dyDescent="0.3">
      <c r="A246" t="s">
        <v>2019</v>
      </c>
      <c r="B246" t="s">
        <v>49</v>
      </c>
      <c r="C246" s="7">
        <v>45531</v>
      </c>
      <c r="D246" s="21">
        <v>162952.1012623891</v>
      </c>
      <c r="E246">
        <f>IllegalConnections[[#This Row],[EstimatedLoss_RM]]/0.8</f>
        <v>203690.12657798638</v>
      </c>
      <c r="F246" t="s">
        <v>1944</v>
      </c>
    </row>
    <row r="247" spans="1:6" x14ac:dyDescent="0.3">
      <c r="A247" t="s">
        <v>2157</v>
      </c>
      <c r="B247" t="s">
        <v>47</v>
      </c>
      <c r="C247" s="7">
        <v>45528</v>
      </c>
      <c r="D247" s="21">
        <v>194074.1093333984</v>
      </c>
      <c r="E247">
        <f>IllegalConnections[[#This Row],[EstimatedLoss_RM]]/0.8</f>
        <v>242592.636666748</v>
      </c>
      <c r="F247" t="s">
        <v>1947</v>
      </c>
    </row>
    <row r="248" spans="1:6" x14ac:dyDescent="0.3">
      <c r="A248" t="s">
        <v>2177</v>
      </c>
      <c r="B248" t="s">
        <v>38</v>
      </c>
      <c r="C248" s="7">
        <v>45527</v>
      </c>
      <c r="D248" s="21">
        <v>121364.89948727362</v>
      </c>
      <c r="E248">
        <f>IllegalConnections[[#This Row],[EstimatedLoss_RM]]/0.8</f>
        <v>151706.12435909201</v>
      </c>
      <c r="F248" t="s">
        <v>1944</v>
      </c>
    </row>
    <row r="249" spans="1:6" x14ac:dyDescent="0.3">
      <c r="A249" t="s">
        <v>2063</v>
      </c>
      <c r="B249" t="s">
        <v>38</v>
      </c>
      <c r="C249" s="7">
        <v>45525</v>
      </c>
      <c r="D249" s="21">
        <v>69589.629946001529</v>
      </c>
      <c r="E249">
        <f>IllegalConnections[[#This Row],[EstimatedLoss_RM]]/0.8</f>
        <v>86987.037432501907</v>
      </c>
      <c r="F249" t="s">
        <v>1949</v>
      </c>
    </row>
    <row r="250" spans="1:6" x14ac:dyDescent="0.3">
      <c r="A250" t="s">
        <v>1963</v>
      </c>
      <c r="B250" t="s">
        <v>49</v>
      </c>
      <c r="C250" s="7">
        <v>45525</v>
      </c>
      <c r="D250" s="21">
        <v>225396.58276484752</v>
      </c>
      <c r="E250">
        <f>IllegalConnections[[#This Row],[EstimatedLoss_RM]]/0.8</f>
        <v>281745.72845605941</v>
      </c>
      <c r="F250" t="s">
        <v>1947</v>
      </c>
    </row>
    <row r="251" spans="1:6" x14ac:dyDescent="0.3">
      <c r="A251" t="s">
        <v>2179</v>
      </c>
      <c r="B251" t="s">
        <v>38</v>
      </c>
      <c r="C251" s="7">
        <v>45523</v>
      </c>
      <c r="D251" s="21">
        <v>271163.63078749774</v>
      </c>
      <c r="E251">
        <f>IllegalConnections[[#This Row],[EstimatedLoss_RM]]/0.8</f>
        <v>338954.53848437214</v>
      </c>
      <c r="F251" t="s">
        <v>1949</v>
      </c>
    </row>
    <row r="252" spans="1:6" x14ac:dyDescent="0.3">
      <c r="A252" t="s">
        <v>2182</v>
      </c>
      <c r="B252" t="s">
        <v>53</v>
      </c>
      <c r="C252" s="7">
        <v>45523</v>
      </c>
      <c r="D252" s="21">
        <v>328991.9430050088</v>
      </c>
      <c r="E252">
        <f>IllegalConnections[[#This Row],[EstimatedLoss_RM]]/0.8</f>
        <v>411239.92875626095</v>
      </c>
      <c r="F252" t="s">
        <v>1949</v>
      </c>
    </row>
    <row r="253" spans="1:6" x14ac:dyDescent="0.3">
      <c r="A253" t="s">
        <v>2143</v>
      </c>
      <c r="B253" t="s">
        <v>50</v>
      </c>
      <c r="C253" s="7">
        <v>45523</v>
      </c>
      <c r="D253" s="21">
        <v>59090.000474457847</v>
      </c>
      <c r="E253">
        <f>IllegalConnections[[#This Row],[EstimatedLoss_RM]]/0.8</f>
        <v>73862.500593072298</v>
      </c>
      <c r="F253" t="s">
        <v>1947</v>
      </c>
    </row>
    <row r="254" spans="1:6" x14ac:dyDescent="0.3">
      <c r="A254" t="s">
        <v>2046</v>
      </c>
      <c r="B254" t="s">
        <v>42</v>
      </c>
      <c r="C254" s="7">
        <v>45522</v>
      </c>
      <c r="D254" s="21">
        <v>18604.743257342907</v>
      </c>
      <c r="E254">
        <f>IllegalConnections[[#This Row],[EstimatedLoss_RM]]/0.8</f>
        <v>23255.929071678631</v>
      </c>
      <c r="F254" t="s">
        <v>1949</v>
      </c>
    </row>
    <row r="255" spans="1:6" x14ac:dyDescent="0.3">
      <c r="A255" t="s">
        <v>1975</v>
      </c>
      <c r="B255" t="s">
        <v>48</v>
      </c>
      <c r="C255" s="7">
        <v>45518</v>
      </c>
      <c r="D255" s="21">
        <v>42955.340281402823</v>
      </c>
      <c r="E255">
        <f>IllegalConnections[[#This Row],[EstimatedLoss_RM]]/0.8</f>
        <v>53694.175351753525</v>
      </c>
      <c r="F255" t="s">
        <v>1944</v>
      </c>
    </row>
    <row r="256" spans="1:6" x14ac:dyDescent="0.3">
      <c r="A256" t="s">
        <v>2055</v>
      </c>
      <c r="B256" t="s">
        <v>53</v>
      </c>
      <c r="C256" s="7">
        <v>45512</v>
      </c>
      <c r="D256" s="21">
        <v>182002.18644861638</v>
      </c>
      <c r="E256">
        <f>IllegalConnections[[#This Row],[EstimatedLoss_RM]]/0.8</f>
        <v>227502.73306077046</v>
      </c>
      <c r="F256" t="s">
        <v>1944</v>
      </c>
    </row>
    <row r="257" spans="1:6" x14ac:dyDescent="0.3">
      <c r="A257" t="s">
        <v>2130</v>
      </c>
      <c r="B257" t="s">
        <v>39</v>
      </c>
      <c r="C257" s="7">
        <v>45500</v>
      </c>
      <c r="D257" s="21">
        <v>71912.404449584472</v>
      </c>
      <c r="E257">
        <f>IllegalConnections[[#This Row],[EstimatedLoss_RM]]/0.8</f>
        <v>89890.505561980579</v>
      </c>
      <c r="F257" t="s">
        <v>1949</v>
      </c>
    </row>
    <row r="258" spans="1:6" x14ac:dyDescent="0.3">
      <c r="A258" t="s">
        <v>2124</v>
      </c>
      <c r="B258" t="s">
        <v>42</v>
      </c>
      <c r="C258" s="7">
        <v>45498</v>
      </c>
      <c r="D258" s="21">
        <v>233358.48748606537</v>
      </c>
      <c r="E258">
        <f>IllegalConnections[[#This Row],[EstimatedLoss_RM]]/0.8</f>
        <v>291698.10935758171</v>
      </c>
      <c r="F258" t="s">
        <v>1944</v>
      </c>
    </row>
    <row r="259" spans="1:6" x14ac:dyDescent="0.3">
      <c r="A259" t="s">
        <v>2217</v>
      </c>
      <c r="B259" t="s">
        <v>40</v>
      </c>
      <c r="C259" s="7">
        <v>45498</v>
      </c>
      <c r="D259" s="21">
        <v>237665.41811342901</v>
      </c>
      <c r="E259">
        <f>IllegalConnections[[#This Row],[EstimatedLoss_RM]]/0.8</f>
        <v>297081.77264178626</v>
      </c>
      <c r="F259" t="s">
        <v>1947</v>
      </c>
    </row>
    <row r="260" spans="1:6" x14ac:dyDescent="0.3">
      <c r="A260" t="s">
        <v>2087</v>
      </c>
      <c r="B260" t="s">
        <v>46</v>
      </c>
      <c r="C260" s="7">
        <v>45496</v>
      </c>
      <c r="D260" s="21">
        <v>9067.8121254710695</v>
      </c>
      <c r="E260">
        <f>IllegalConnections[[#This Row],[EstimatedLoss_RM]]/0.8</f>
        <v>11334.765156838836</v>
      </c>
      <c r="F260" t="s">
        <v>1947</v>
      </c>
    </row>
    <row r="261" spans="1:6" x14ac:dyDescent="0.3">
      <c r="A261" t="s">
        <v>2247</v>
      </c>
      <c r="B261" t="s">
        <v>49</v>
      </c>
      <c r="C261" s="7">
        <v>45490</v>
      </c>
      <c r="D261" s="21">
        <v>207165.5769040983</v>
      </c>
      <c r="E261">
        <f>IllegalConnections[[#This Row],[EstimatedLoss_RM]]/0.8</f>
        <v>258956.97113012287</v>
      </c>
      <c r="F261" t="s">
        <v>1949</v>
      </c>
    </row>
    <row r="262" spans="1:6" x14ac:dyDescent="0.3">
      <c r="A262" t="s">
        <v>2078</v>
      </c>
      <c r="B262" t="s">
        <v>46</v>
      </c>
      <c r="C262" s="7">
        <v>45489</v>
      </c>
      <c r="D262" s="21">
        <v>159109.91684556112</v>
      </c>
      <c r="E262">
        <f>IllegalConnections[[#This Row],[EstimatedLoss_RM]]/0.8</f>
        <v>198887.3960569514</v>
      </c>
      <c r="F262" t="s">
        <v>1949</v>
      </c>
    </row>
    <row r="263" spans="1:6" x14ac:dyDescent="0.3">
      <c r="A263" t="s">
        <v>2190</v>
      </c>
      <c r="B263" t="s">
        <v>50</v>
      </c>
      <c r="C263" s="7">
        <v>45489</v>
      </c>
      <c r="D263" s="21">
        <v>220123.26425130086</v>
      </c>
      <c r="E263">
        <f>IllegalConnections[[#This Row],[EstimatedLoss_RM]]/0.8</f>
        <v>275154.08031412604</v>
      </c>
      <c r="F263" t="s">
        <v>1947</v>
      </c>
    </row>
    <row r="264" spans="1:6" x14ac:dyDescent="0.3">
      <c r="A264" t="s">
        <v>2147</v>
      </c>
      <c r="B264" t="s">
        <v>41</v>
      </c>
      <c r="C264" s="7">
        <v>45487</v>
      </c>
      <c r="D264" s="21">
        <v>53754.096320092227</v>
      </c>
      <c r="E264">
        <f>IllegalConnections[[#This Row],[EstimatedLoss_RM]]/0.8</f>
        <v>67192.62040011528</v>
      </c>
      <c r="F264" t="s">
        <v>1944</v>
      </c>
    </row>
    <row r="265" spans="1:6" x14ac:dyDescent="0.3">
      <c r="A265" t="s">
        <v>2214</v>
      </c>
      <c r="B265" t="s">
        <v>49</v>
      </c>
      <c r="C265" s="7">
        <v>45478</v>
      </c>
      <c r="D265" s="21">
        <v>63646.18046613114</v>
      </c>
      <c r="E265">
        <f>IllegalConnections[[#This Row],[EstimatedLoss_RM]]/0.8</f>
        <v>79557.725582663916</v>
      </c>
      <c r="F265" t="s">
        <v>1944</v>
      </c>
    </row>
    <row r="266" spans="1:6" x14ac:dyDescent="0.3">
      <c r="A266" t="s">
        <v>2158</v>
      </c>
      <c r="B266" t="s">
        <v>50</v>
      </c>
      <c r="C266" s="7">
        <v>45476</v>
      </c>
      <c r="D266" s="21">
        <v>62889.140181988922</v>
      </c>
      <c r="E266">
        <f>IllegalConnections[[#This Row],[EstimatedLoss_RM]]/0.8</f>
        <v>78611.42522748615</v>
      </c>
      <c r="F266" t="s">
        <v>1947</v>
      </c>
    </row>
    <row r="267" spans="1:6" x14ac:dyDescent="0.3">
      <c r="A267" t="s">
        <v>1988</v>
      </c>
      <c r="B267" t="s">
        <v>53</v>
      </c>
      <c r="C267" s="7">
        <v>45473</v>
      </c>
      <c r="D267" s="21">
        <v>303348.36490359262</v>
      </c>
      <c r="E267">
        <f>IllegalConnections[[#This Row],[EstimatedLoss_RM]]/0.8</f>
        <v>379185.45612949075</v>
      </c>
      <c r="F267" t="s">
        <v>1949</v>
      </c>
    </row>
    <row r="268" spans="1:6" x14ac:dyDescent="0.3">
      <c r="A268" t="s">
        <v>2077</v>
      </c>
      <c r="B268" t="s">
        <v>48</v>
      </c>
      <c r="C268" s="7">
        <v>45473</v>
      </c>
      <c r="D268" s="21">
        <v>35758.264886961908</v>
      </c>
      <c r="E268">
        <f>IllegalConnections[[#This Row],[EstimatedLoss_RM]]/0.8</f>
        <v>44697.831108702383</v>
      </c>
      <c r="F268" t="s">
        <v>1947</v>
      </c>
    </row>
    <row r="269" spans="1:6" x14ac:dyDescent="0.3">
      <c r="A269" t="s">
        <v>2228</v>
      </c>
      <c r="B269" t="s">
        <v>45</v>
      </c>
      <c r="C269" s="7">
        <v>45470</v>
      </c>
      <c r="D269" s="21">
        <v>141643.46701184721</v>
      </c>
      <c r="E269">
        <f>IllegalConnections[[#This Row],[EstimatedLoss_RM]]/0.8</f>
        <v>177054.33376480901</v>
      </c>
      <c r="F269" t="s">
        <v>1944</v>
      </c>
    </row>
    <row r="270" spans="1:6" x14ac:dyDescent="0.3">
      <c r="A270" t="s">
        <v>2058</v>
      </c>
      <c r="B270" t="s">
        <v>39</v>
      </c>
      <c r="C270" s="7">
        <v>45467</v>
      </c>
      <c r="D270" s="21">
        <v>339069.46102570131</v>
      </c>
      <c r="E270">
        <f>IllegalConnections[[#This Row],[EstimatedLoss_RM]]/0.8</f>
        <v>423836.8262821266</v>
      </c>
      <c r="F270" t="s">
        <v>1949</v>
      </c>
    </row>
    <row r="271" spans="1:6" x14ac:dyDescent="0.3">
      <c r="A271" t="s">
        <v>2239</v>
      </c>
      <c r="B271" t="s">
        <v>45</v>
      </c>
      <c r="C271" s="7">
        <v>45460</v>
      </c>
      <c r="D271" s="21">
        <v>63511.170393796747</v>
      </c>
      <c r="E271">
        <f>IllegalConnections[[#This Row],[EstimatedLoss_RM]]/0.8</f>
        <v>79388.962992245928</v>
      </c>
      <c r="F271" t="s">
        <v>1944</v>
      </c>
    </row>
    <row r="272" spans="1:6" x14ac:dyDescent="0.3">
      <c r="A272" t="s">
        <v>2053</v>
      </c>
      <c r="B272" t="s">
        <v>49</v>
      </c>
      <c r="C272" s="7">
        <v>45459</v>
      </c>
      <c r="D272" s="21">
        <v>241704.5149940564</v>
      </c>
      <c r="E272">
        <f>IllegalConnections[[#This Row],[EstimatedLoss_RM]]/0.8</f>
        <v>302130.64374257048</v>
      </c>
      <c r="F272" t="s">
        <v>1949</v>
      </c>
    </row>
    <row r="273" spans="1:6" x14ac:dyDescent="0.3">
      <c r="A273" t="s">
        <v>2067</v>
      </c>
      <c r="B273" t="s">
        <v>39</v>
      </c>
      <c r="C273" s="7">
        <v>45458</v>
      </c>
      <c r="D273" s="21">
        <v>125884.32066370606</v>
      </c>
      <c r="E273">
        <f>IllegalConnections[[#This Row],[EstimatedLoss_RM]]/0.8</f>
        <v>157355.40082963256</v>
      </c>
      <c r="F273" t="s">
        <v>1944</v>
      </c>
    </row>
    <row r="274" spans="1:6" x14ac:dyDescent="0.3">
      <c r="A274" t="s">
        <v>2080</v>
      </c>
      <c r="B274" t="s">
        <v>44</v>
      </c>
      <c r="C274" s="7">
        <v>45458</v>
      </c>
      <c r="D274" s="21">
        <v>119543.90330920876</v>
      </c>
      <c r="E274">
        <f>IllegalConnections[[#This Row],[EstimatedLoss_RM]]/0.8</f>
        <v>149429.87913651095</v>
      </c>
      <c r="F274" t="s">
        <v>1949</v>
      </c>
    </row>
    <row r="275" spans="1:6" x14ac:dyDescent="0.3">
      <c r="A275" t="s">
        <v>2232</v>
      </c>
      <c r="B275" t="s">
        <v>52</v>
      </c>
      <c r="C275" s="7">
        <v>45456</v>
      </c>
      <c r="D275" s="21">
        <v>177055.461126243</v>
      </c>
      <c r="E275">
        <f>IllegalConnections[[#This Row],[EstimatedLoss_RM]]/0.8</f>
        <v>221319.32640780375</v>
      </c>
      <c r="F275" t="s">
        <v>1947</v>
      </c>
    </row>
    <row r="276" spans="1:6" x14ac:dyDescent="0.3">
      <c r="A276" t="s">
        <v>2243</v>
      </c>
      <c r="B276" t="s">
        <v>50</v>
      </c>
      <c r="C276" s="7">
        <v>45450</v>
      </c>
      <c r="D276" s="21">
        <v>331722.20742326899</v>
      </c>
      <c r="E276">
        <f>IllegalConnections[[#This Row],[EstimatedLoss_RM]]/0.8</f>
        <v>414652.7592790862</v>
      </c>
      <c r="F276" t="s">
        <v>1947</v>
      </c>
    </row>
    <row r="277" spans="1:6" x14ac:dyDescent="0.3">
      <c r="A277" t="s">
        <v>1957</v>
      </c>
      <c r="B277" t="s">
        <v>42</v>
      </c>
      <c r="C277" s="7">
        <v>45449</v>
      </c>
      <c r="D277" s="21">
        <v>269284.96836396214</v>
      </c>
      <c r="E277">
        <f>IllegalConnections[[#This Row],[EstimatedLoss_RM]]/0.8</f>
        <v>336606.21045495267</v>
      </c>
      <c r="F277" t="s">
        <v>1944</v>
      </c>
    </row>
    <row r="278" spans="1:6" x14ac:dyDescent="0.3">
      <c r="A278" t="s">
        <v>2088</v>
      </c>
      <c r="B278" t="s">
        <v>49</v>
      </c>
      <c r="C278" s="7">
        <v>45447</v>
      </c>
      <c r="D278" s="21">
        <v>266560.16994053323</v>
      </c>
      <c r="E278">
        <f>IllegalConnections[[#This Row],[EstimatedLoss_RM]]/0.8</f>
        <v>333200.21242566651</v>
      </c>
      <c r="F278" t="s">
        <v>1944</v>
      </c>
    </row>
    <row r="279" spans="1:6" x14ac:dyDescent="0.3">
      <c r="A279" t="s">
        <v>2042</v>
      </c>
      <c r="B279" t="s">
        <v>50</v>
      </c>
      <c r="C279" s="7">
        <v>45445</v>
      </c>
      <c r="D279" s="21">
        <v>8383.0596229734729</v>
      </c>
      <c r="E279">
        <f>IllegalConnections[[#This Row],[EstimatedLoss_RM]]/0.8</f>
        <v>10478.824528716841</v>
      </c>
      <c r="F279" t="s">
        <v>1944</v>
      </c>
    </row>
    <row r="280" spans="1:6" x14ac:dyDescent="0.3">
      <c r="A280" t="s">
        <v>2082</v>
      </c>
      <c r="B280" t="s">
        <v>40</v>
      </c>
      <c r="C280" s="7">
        <v>45440</v>
      </c>
      <c r="D280" s="21">
        <v>41674.794342287882</v>
      </c>
      <c r="E280">
        <f>IllegalConnections[[#This Row],[EstimatedLoss_RM]]/0.8</f>
        <v>52093.49292785985</v>
      </c>
      <c r="F280" t="s">
        <v>1944</v>
      </c>
    </row>
    <row r="281" spans="1:6" x14ac:dyDescent="0.3">
      <c r="A281" t="s">
        <v>2134</v>
      </c>
      <c r="B281" t="s">
        <v>44</v>
      </c>
      <c r="C281" s="7">
        <v>45437</v>
      </c>
      <c r="D281" s="21">
        <v>303574.38378986903</v>
      </c>
      <c r="E281">
        <f>IllegalConnections[[#This Row],[EstimatedLoss_RM]]/0.8</f>
        <v>379467.97973733628</v>
      </c>
      <c r="F281" t="s">
        <v>1944</v>
      </c>
    </row>
    <row r="282" spans="1:6" x14ac:dyDescent="0.3">
      <c r="A282" t="s">
        <v>2118</v>
      </c>
      <c r="B282" t="s">
        <v>41</v>
      </c>
      <c r="C282" s="7">
        <v>45436</v>
      </c>
      <c r="D282" s="21">
        <v>293875.11261150602</v>
      </c>
      <c r="E282">
        <f>IllegalConnections[[#This Row],[EstimatedLoss_RM]]/0.8</f>
        <v>367343.89076438249</v>
      </c>
      <c r="F282" t="s">
        <v>1949</v>
      </c>
    </row>
    <row r="283" spans="1:6" x14ac:dyDescent="0.3">
      <c r="A283" t="s">
        <v>2145</v>
      </c>
      <c r="B283" t="s">
        <v>53</v>
      </c>
      <c r="C283" s="7">
        <v>45435</v>
      </c>
      <c r="D283" s="21">
        <v>96466.199831499893</v>
      </c>
      <c r="E283">
        <f>IllegalConnections[[#This Row],[EstimatedLoss_RM]]/0.8</f>
        <v>120582.74978937487</v>
      </c>
      <c r="F283" t="s">
        <v>1949</v>
      </c>
    </row>
    <row r="284" spans="1:6" x14ac:dyDescent="0.3">
      <c r="A284" t="s">
        <v>2098</v>
      </c>
      <c r="B284" t="s">
        <v>43</v>
      </c>
      <c r="C284" s="7">
        <v>45433</v>
      </c>
      <c r="D284" s="21">
        <v>286751.1448979344</v>
      </c>
      <c r="E284">
        <f>IllegalConnections[[#This Row],[EstimatedLoss_RM]]/0.8</f>
        <v>358438.93112241797</v>
      </c>
      <c r="F284" t="s">
        <v>1944</v>
      </c>
    </row>
    <row r="285" spans="1:6" x14ac:dyDescent="0.3">
      <c r="A285" t="s">
        <v>1983</v>
      </c>
      <c r="B285" t="s">
        <v>38</v>
      </c>
      <c r="C285" s="7">
        <v>45429</v>
      </c>
      <c r="D285" s="21">
        <v>151456.84083231469</v>
      </c>
      <c r="E285">
        <f>IllegalConnections[[#This Row],[EstimatedLoss_RM]]/0.8</f>
        <v>189321.05104039336</v>
      </c>
      <c r="F285" t="s">
        <v>1949</v>
      </c>
    </row>
    <row r="286" spans="1:6" x14ac:dyDescent="0.3">
      <c r="A286" t="s">
        <v>2052</v>
      </c>
      <c r="B286" t="s">
        <v>45</v>
      </c>
      <c r="C286" s="7">
        <v>45428</v>
      </c>
      <c r="D286" s="21">
        <v>33857.875133971669</v>
      </c>
      <c r="E286">
        <f>IllegalConnections[[#This Row],[EstimatedLoss_RM]]/0.8</f>
        <v>42322.343917464583</v>
      </c>
      <c r="F286" t="s">
        <v>1947</v>
      </c>
    </row>
    <row r="287" spans="1:6" x14ac:dyDescent="0.3">
      <c r="A287" t="s">
        <v>2048</v>
      </c>
      <c r="B287" t="s">
        <v>53</v>
      </c>
      <c r="C287" s="7">
        <v>45427</v>
      </c>
      <c r="D287" s="21">
        <v>226669.33966132777</v>
      </c>
      <c r="E287">
        <f>IllegalConnections[[#This Row],[EstimatedLoss_RM]]/0.8</f>
        <v>283336.67457665969</v>
      </c>
      <c r="F287" t="s">
        <v>1944</v>
      </c>
    </row>
    <row r="288" spans="1:6" x14ac:dyDescent="0.3">
      <c r="A288" t="s">
        <v>2083</v>
      </c>
      <c r="B288" t="s">
        <v>39</v>
      </c>
      <c r="C288" s="7">
        <v>45427</v>
      </c>
      <c r="D288" s="21">
        <v>72771.932136814547</v>
      </c>
      <c r="E288">
        <f>IllegalConnections[[#This Row],[EstimatedLoss_RM]]/0.8</f>
        <v>90964.915171018176</v>
      </c>
      <c r="F288" t="s">
        <v>1949</v>
      </c>
    </row>
    <row r="289" spans="1:6" x14ac:dyDescent="0.3">
      <c r="A289" t="s">
        <v>2062</v>
      </c>
      <c r="B289" t="s">
        <v>38</v>
      </c>
      <c r="C289" s="7">
        <v>45424</v>
      </c>
      <c r="D289" s="21">
        <v>192441.00672766127</v>
      </c>
      <c r="E289">
        <f>IllegalConnections[[#This Row],[EstimatedLoss_RM]]/0.8</f>
        <v>240551.25840957658</v>
      </c>
      <c r="F289" t="s">
        <v>1949</v>
      </c>
    </row>
    <row r="290" spans="1:6" x14ac:dyDescent="0.3">
      <c r="A290" t="s">
        <v>2163</v>
      </c>
      <c r="B290" t="s">
        <v>52</v>
      </c>
      <c r="C290" s="7">
        <v>45422</v>
      </c>
      <c r="D290" s="21">
        <v>66373.438587234123</v>
      </c>
      <c r="E290">
        <f>IllegalConnections[[#This Row],[EstimatedLoss_RM]]/0.8</f>
        <v>82966.798234042653</v>
      </c>
      <c r="F290" t="s">
        <v>1944</v>
      </c>
    </row>
    <row r="291" spans="1:6" x14ac:dyDescent="0.3">
      <c r="A291" t="s">
        <v>2144</v>
      </c>
      <c r="B291" t="s">
        <v>52</v>
      </c>
      <c r="C291" s="7">
        <v>45418</v>
      </c>
      <c r="D291" s="21">
        <v>57816.696978494452</v>
      </c>
      <c r="E291">
        <f>IllegalConnections[[#This Row],[EstimatedLoss_RM]]/0.8</f>
        <v>72270.871223118054</v>
      </c>
      <c r="F291" t="s">
        <v>1944</v>
      </c>
    </row>
    <row r="292" spans="1:6" x14ac:dyDescent="0.3">
      <c r="A292" t="s">
        <v>2073</v>
      </c>
      <c r="B292" t="s">
        <v>38</v>
      </c>
      <c r="C292" s="7">
        <v>45416</v>
      </c>
      <c r="D292" s="21">
        <v>275708.60548976675</v>
      </c>
      <c r="E292">
        <f>IllegalConnections[[#This Row],[EstimatedLoss_RM]]/0.8</f>
        <v>344635.75686220842</v>
      </c>
      <c r="F292" t="s">
        <v>1944</v>
      </c>
    </row>
    <row r="293" spans="1:6" x14ac:dyDescent="0.3">
      <c r="A293" t="s">
        <v>2102</v>
      </c>
      <c r="B293" t="s">
        <v>38</v>
      </c>
      <c r="C293" s="7">
        <v>45410</v>
      </c>
      <c r="D293" s="21">
        <v>252677.90956760751</v>
      </c>
      <c r="E293">
        <f>IllegalConnections[[#This Row],[EstimatedLoss_RM]]/0.8</f>
        <v>315847.38695950934</v>
      </c>
      <c r="F293" t="s">
        <v>1944</v>
      </c>
    </row>
    <row r="294" spans="1:6" x14ac:dyDescent="0.3">
      <c r="A294" t="s">
        <v>2184</v>
      </c>
      <c r="B294" t="s">
        <v>39</v>
      </c>
      <c r="C294" s="7">
        <v>45401</v>
      </c>
      <c r="D294" s="21">
        <v>196988.03117799206</v>
      </c>
      <c r="E294">
        <f>IllegalConnections[[#This Row],[EstimatedLoss_RM]]/0.8</f>
        <v>246235.03897249006</v>
      </c>
      <c r="F294" t="s">
        <v>1949</v>
      </c>
    </row>
    <row r="295" spans="1:6" x14ac:dyDescent="0.3">
      <c r="A295" t="s">
        <v>2161</v>
      </c>
      <c r="B295" t="s">
        <v>39</v>
      </c>
      <c r="C295" s="7">
        <v>45400</v>
      </c>
      <c r="D295" s="21">
        <v>304317.48578719125</v>
      </c>
      <c r="E295">
        <f>IllegalConnections[[#This Row],[EstimatedLoss_RM]]/0.8</f>
        <v>380396.85723398905</v>
      </c>
      <c r="F295" t="s">
        <v>1944</v>
      </c>
    </row>
    <row r="296" spans="1:6" x14ac:dyDescent="0.3">
      <c r="A296" t="s">
        <v>2186</v>
      </c>
      <c r="B296" t="s">
        <v>47</v>
      </c>
      <c r="C296" s="7">
        <v>45400</v>
      </c>
      <c r="D296" s="21">
        <v>237787.30979816813</v>
      </c>
      <c r="E296">
        <f>IllegalConnections[[#This Row],[EstimatedLoss_RM]]/0.8</f>
        <v>297234.13724771014</v>
      </c>
      <c r="F296" t="s">
        <v>1947</v>
      </c>
    </row>
    <row r="297" spans="1:6" x14ac:dyDescent="0.3">
      <c r="A297" t="s">
        <v>2000</v>
      </c>
      <c r="B297" t="s">
        <v>45</v>
      </c>
      <c r="C297" s="7">
        <v>45394</v>
      </c>
      <c r="D297" s="21">
        <v>292375.79022926622</v>
      </c>
      <c r="E297">
        <f>IllegalConnections[[#This Row],[EstimatedLoss_RM]]/0.8</f>
        <v>365469.73778658273</v>
      </c>
      <c r="F297" t="s">
        <v>1944</v>
      </c>
    </row>
    <row r="298" spans="1:6" x14ac:dyDescent="0.3">
      <c r="A298" t="s">
        <v>2041</v>
      </c>
      <c r="B298" t="s">
        <v>49</v>
      </c>
      <c r="C298" s="7">
        <v>45393</v>
      </c>
      <c r="D298" s="21">
        <v>123614.29301024566</v>
      </c>
      <c r="E298">
        <f>IllegalConnections[[#This Row],[EstimatedLoss_RM]]/0.8</f>
        <v>154517.86626280707</v>
      </c>
      <c r="F298" t="s">
        <v>1949</v>
      </c>
    </row>
    <row r="299" spans="1:6" x14ac:dyDescent="0.3">
      <c r="A299" t="s">
        <v>2133</v>
      </c>
      <c r="B299" t="s">
        <v>46</v>
      </c>
      <c r="C299" s="7">
        <v>45392</v>
      </c>
      <c r="D299" s="21">
        <v>154679.04478539657</v>
      </c>
      <c r="E299">
        <f>IllegalConnections[[#This Row],[EstimatedLoss_RM]]/0.8</f>
        <v>193348.80598174571</v>
      </c>
      <c r="F299" t="s">
        <v>1949</v>
      </c>
    </row>
    <row r="300" spans="1:6" x14ac:dyDescent="0.3">
      <c r="A300" t="s">
        <v>2162</v>
      </c>
      <c r="B300" t="s">
        <v>50</v>
      </c>
      <c r="C300" s="7">
        <v>45387</v>
      </c>
      <c r="D300" s="21">
        <v>195681.79506316976</v>
      </c>
      <c r="E300">
        <f>IllegalConnections[[#This Row],[EstimatedLoss_RM]]/0.8</f>
        <v>244602.24382896218</v>
      </c>
      <c r="F300" t="s">
        <v>1944</v>
      </c>
    </row>
    <row r="301" spans="1:6" x14ac:dyDescent="0.3">
      <c r="A301" t="s">
        <v>1950</v>
      </c>
      <c r="B301" t="s">
        <v>43</v>
      </c>
      <c r="C301" s="7">
        <v>45387</v>
      </c>
      <c r="D301" s="21">
        <v>57177.858832580212</v>
      </c>
      <c r="E301">
        <f>IllegalConnections[[#This Row],[EstimatedLoss_RM]]/0.8</f>
        <v>71472.323540725265</v>
      </c>
      <c r="F301" t="s">
        <v>1949</v>
      </c>
    </row>
    <row r="302" spans="1:6" x14ac:dyDescent="0.3">
      <c r="A302" t="s">
        <v>2040</v>
      </c>
      <c r="B302" t="s">
        <v>49</v>
      </c>
      <c r="C302" s="7">
        <v>45364</v>
      </c>
      <c r="D302" s="21">
        <v>340900.29599446262</v>
      </c>
      <c r="E302">
        <f>IllegalConnections[[#This Row],[EstimatedLoss_RM]]/0.8</f>
        <v>426125.36999307823</v>
      </c>
      <c r="F302" t="s">
        <v>1947</v>
      </c>
    </row>
    <row r="303" spans="1:6" x14ac:dyDescent="0.3">
      <c r="A303" t="s">
        <v>2064</v>
      </c>
      <c r="B303" t="s">
        <v>43</v>
      </c>
      <c r="C303" s="7">
        <v>45357</v>
      </c>
      <c r="D303" s="21">
        <v>224189.28115647272</v>
      </c>
      <c r="E303">
        <f>IllegalConnections[[#This Row],[EstimatedLoss_RM]]/0.8</f>
        <v>280236.6014455909</v>
      </c>
      <c r="F303" t="s">
        <v>1949</v>
      </c>
    </row>
    <row r="304" spans="1:6" x14ac:dyDescent="0.3">
      <c r="A304" t="s">
        <v>2204</v>
      </c>
      <c r="B304" t="s">
        <v>47</v>
      </c>
      <c r="C304" s="7">
        <v>45351</v>
      </c>
      <c r="D304" s="21">
        <v>199243.98389476171</v>
      </c>
      <c r="E304">
        <f>IllegalConnections[[#This Row],[EstimatedLoss_RM]]/0.8</f>
        <v>249054.97986845212</v>
      </c>
      <c r="F304" t="s">
        <v>1947</v>
      </c>
    </row>
    <row r="305" spans="1:6" x14ac:dyDescent="0.3">
      <c r="A305" t="s">
        <v>2227</v>
      </c>
      <c r="B305" t="s">
        <v>46</v>
      </c>
      <c r="C305" s="7">
        <v>45334</v>
      </c>
      <c r="D305" s="21">
        <v>69320.566350428227</v>
      </c>
      <c r="E305">
        <f>IllegalConnections[[#This Row],[EstimatedLoss_RM]]/0.8</f>
        <v>86650.707938035281</v>
      </c>
      <c r="F305" t="s">
        <v>1949</v>
      </c>
    </row>
    <row r="306" spans="1:6" x14ac:dyDescent="0.3">
      <c r="A306" t="s">
        <v>2229</v>
      </c>
      <c r="B306" t="s">
        <v>53</v>
      </c>
      <c r="C306" s="7">
        <v>45329</v>
      </c>
      <c r="D306" s="21">
        <v>175979.34339382063</v>
      </c>
      <c r="E306">
        <f>IllegalConnections[[#This Row],[EstimatedLoss_RM]]/0.8</f>
        <v>219974.17924227577</v>
      </c>
      <c r="F306" t="s">
        <v>1944</v>
      </c>
    </row>
    <row r="307" spans="1:6" x14ac:dyDescent="0.3">
      <c r="A307" t="s">
        <v>2104</v>
      </c>
      <c r="B307" t="s">
        <v>46</v>
      </c>
      <c r="C307" s="7">
        <v>45328</v>
      </c>
      <c r="D307" s="21">
        <v>112240.24101555647</v>
      </c>
      <c r="E307">
        <f>IllegalConnections[[#This Row],[EstimatedLoss_RM]]/0.8</f>
        <v>140300.30126944557</v>
      </c>
      <c r="F307" t="s">
        <v>1944</v>
      </c>
    </row>
    <row r="308" spans="1:6" x14ac:dyDescent="0.3">
      <c r="A308" t="s">
        <v>2012</v>
      </c>
      <c r="B308" t="s">
        <v>49</v>
      </c>
      <c r="C308" s="7">
        <v>45323</v>
      </c>
      <c r="D308" s="21">
        <v>213241.44010875819</v>
      </c>
      <c r="E308">
        <f>IllegalConnections[[#This Row],[EstimatedLoss_RM]]/0.8</f>
        <v>266551.80013594771</v>
      </c>
      <c r="F308" t="s">
        <v>1949</v>
      </c>
    </row>
    <row r="309" spans="1:6" x14ac:dyDescent="0.3">
      <c r="A309" t="s">
        <v>2099</v>
      </c>
      <c r="B309" t="s">
        <v>39</v>
      </c>
      <c r="C309" s="7">
        <v>45316</v>
      </c>
      <c r="D309" s="21">
        <v>75401.758900048677</v>
      </c>
      <c r="E309">
        <f>IllegalConnections[[#This Row],[EstimatedLoss_RM]]/0.8</f>
        <v>94252.198625060846</v>
      </c>
      <c r="F309" t="s">
        <v>1947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C641-9363-47C5-8B5F-61370DF8FB35}">
  <dimension ref="A1:G598"/>
  <sheetViews>
    <sheetView zoomScaleNormal="100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4.6640625" customWidth="1"/>
    <col min="2" max="2" width="11" bestFit="1" customWidth="1"/>
    <col min="3" max="3" width="17" bestFit="1" customWidth="1"/>
    <col min="4" max="4" width="17.33203125" bestFit="1" customWidth="1"/>
    <col min="5" max="5" width="18.6640625" bestFit="1" customWidth="1"/>
    <col min="6" max="6" width="13" bestFit="1" customWidth="1"/>
    <col min="7" max="7" width="12.88671875" customWidth="1"/>
  </cols>
  <sheetData>
    <row r="1" spans="1:7" x14ac:dyDescent="0.3">
      <c r="A1" s="1" t="s">
        <v>2887</v>
      </c>
      <c r="B1" s="1" t="s">
        <v>2872</v>
      </c>
      <c r="C1" s="1" t="s">
        <v>2888</v>
      </c>
      <c r="D1" s="1" t="s">
        <v>2889</v>
      </c>
      <c r="E1" s="1" t="s">
        <v>2890</v>
      </c>
      <c r="F1" s="1" t="s">
        <v>2891</v>
      </c>
      <c r="G1" s="1" t="s">
        <v>2892</v>
      </c>
    </row>
    <row r="2" spans="1:7" x14ac:dyDescent="0.3">
      <c r="A2" t="s">
        <v>2254</v>
      </c>
      <c r="B2" t="s">
        <v>176</v>
      </c>
      <c r="C2" s="7">
        <v>45296</v>
      </c>
      <c r="D2" t="s">
        <v>2255</v>
      </c>
      <c r="E2">
        <v>38</v>
      </c>
      <c r="F2">
        <v>6020.07</v>
      </c>
      <c r="G2" t="s">
        <v>2256</v>
      </c>
    </row>
    <row r="3" spans="1:7" x14ac:dyDescent="0.3">
      <c r="A3" t="s">
        <v>2257</v>
      </c>
      <c r="B3" t="s">
        <v>127</v>
      </c>
      <c r="C3" s="7">
        <v>46009</v>
      </c>
      <c r="D3" t="s">
        <v>2255</v>
      </c>
      <c r="E3">
        <v>102</v>
      </c>
      <c r="F3">
        <v>6168.7</v>
      </c>
      <c r="G3" t="s">
        <v>74</v>
      </c>
    </row>
    <row r="4" spans="1:7" x14ac:dyDescent="0.3">
      <c r="A4" t="s">
        <v>2258</v>
      </c>
      <c r="B4" t="s">
        <v>481</v>
      </c>
      <c r="C4" s="7">
        <v>46013</v>
      </c>
      <c r="D4" t="s">
        <v>2255</v>
      </c>
      <c r="E4">
        <v>28</v>
      </c>
      <c r="F4">
        <v>6080.33</v>
      </c>
      <c r="G4" t="s">
        <v>71</v>
      </c>
    </row>
    <row r="5" spans="1:7" x14ac:dyDescent="0.3">
      <c r="A5" t="s">
        <v>2260</v>
      </c>
      <c r="B5" t="s">
        <v>556</v>
      </c>
      <c r="C5" s="7">
        <v>45937</v>
      </c>
      <c r="D5" t="s">
        <v>2259</v>
      </c>
      <c r="E5">
        <v>83</v>
      </c>
      <c r="F5">
        <v>6611.78</v>
      </c>
      <c r="G5" t="s">
        <v>2256</v>
      </c>
    </row>
    <row r="6" spans="1:7" x14ac:dyDescent="0.3">
      <c r="A6" t="s">
        <v>2262</v>
      </c>
      <c r="B6" t="s">
        <v>239</v>
      </c>
      <c r="C6" s="7">
        <v>45495</v>
      </c>
      <c r="D6" t="s">
        <v>2261</v>
      </c>
      <c r="E6">
        <v>44</v>
      </c>
      <c r="F6">
        <v>16649.849999999999</v>
      </c>
      <c r="G6" t="s">
        <v>71</v>
      </c>
    </row>
    <row r="7" spans="1:7" x14ac:dyDescent="0.3">
      <c r="A7" t="s">
        <v>2263</v>
      </c>
      <c r="B7" t="s">
        <v>939</v>
      </c>
      <c r="C7" s="7">
        <v>45956</v>
      </c>
      <c r="D7" t="s">
        <v>2255</v>
      </c>
      <c r="E7">
        <v>80</v>
      </c>
      <c r="F7">
        <v>18871.22</v>
      </c>
      <c r="G7" t="s">
        <v>2256</v>
      </c>
    </row>
    <row r="8" spans="1:7" x14ac:dyDescent="0.3">
      <c r="A8" t="s">
        <v>2264</v>
      </c>
      <c r="B8" t="s">
        <v>521</v>
      </c>
      <c r="C8" s="7">
        <v>45544</v>
      </c>
      <c r="D8" t="s">
        <v>2255</v>
      </c>
      <c r="E8">
        <v>61</v>
      </c>
      <c r="F8">
        <v>13211.75</v>
      </c>
      <c r="G8" t="s">
        <v>74</v>
      </c>
    </row>
    <row r="9" spans="1:7" x14ac:dyDescent="0.3">
      <c r="A9" t="s">
        <v>2265</v>
      </c>
      <c r="B9" t="s">
        <v>902</v>
      </c>
      <c r="C9" s="7">
        <v>45942</v>
      </c>
      <c r="D9" t="s">
        <v>2259</v>
      </c>
      <c r="E9">
        <v>13</v>
      </c>
      <c r="F9">
        <v>18735.3</v>
      </c>
      <c r="G9" t="s">
        <v>2256</v>
      </c>
    </row>
    <row r="10" spans="1:7" x14ac:dyDescent="0.3">
      <c r="A10" t="s">
        <v>2266</v>
      </c>
      <c r="B10" t="s">
        <v>464</v>
      </c>
      <c r="C10" s="7">
        <v>45615</v>
      </c>
      <c r="D10" t="s">
        <v>2267</v>
      </c>
      <c r="E10">
        <v>109</v>
      </c>
      <c r="F10">
        <v>16947.84</v>
      </c>
      <c r="G10" t="s">
        <v>63</v>
      </c>
    </row>
    <row r="11" spans="1:7" x14ac:dyDescent="0.3">
      <c r="A11" t="s">
        <v>2268</v>
      </c>
      <c r="B11" t="s">
        <v>638</v>
      </c>
      <c r="C11" s="7">
        <v>45691</v>
      </c>
      <c r="D11" t="s">
        <v>2255</v>
      </c>
      <c r="E11">
        <v>91</v>
      </c>
      <c r="F11">
        <v>3351</v>
      </c>
      <c r="G11" t="s">
        <v>74</v>
      </c>
    </row>
    <row r="12" spans="1:7" x14ac:dyDescent="0.3">
      <c r="A12" t="s">
        <v>2269</v>
      </c>
      <c r="B12" t="s">
        <v>135</v>
      </c>
      <c r="C12" s="7">
        <v>45728</v>
      </c>
      <c r="D12" t="s">
        <v>2255</v>
      </c>
      <c r="E12">
        <v>97</v>
      </c>
      <c r="F12">
        <v>11554.41</v>
      </c>
      <c r="G12" t="s">
        <v>74</v>
      </c>
    </row>
    <row r="13" spans="1:7" x14ac:dyDescent="0.3">
      <c r="A13" t="s">
        <v>2270</v>
      </c>
      <c r="B13" t="s">
        <v>937</v>
      </c>
      <c r="C13" s="7">
        <v>45715</v>
      </c>
      <c r="D13" t="s">
        <v>2255</v>
      </c>
      <c r="E13">
        <v>76</v>
      </c>
      <c r="F13">
        <v>4045.69</v>
      </c>
      <c r="G13" t="s">
        <v>2256</v>
      </c>
    </row>
    <row r="14" spans="1:7" x14ac:dyDescent="0.3">
      <c r="A14" t="s">
        <v>2271</v>
      </c>
      <c r="B14" t="s">
        <v>138</v>
      </c>
      <c r="C14" s="7">
        <v>45438</v>
      </c>
      <c r="D14" t="s">
        <v>2261</v>
      </c>
      <c r="E14">
        <v>39</v>
      </c>
      <c r="F14">
        <v>14662.07</v>
      </c>
      <c r="G14" t="s">
        <v>63</v>
      </c>
    </row>
    <row r="15" spans="1:7" x14ac:dyDescent="0.3">
      <c r="A15" t="s">
        <v>2272</v>
      </c>
      <c r="B15" t="s">
        <v>328</v>
      </c>
      <c r="C15" s="7">
        <v>45899</v>
      </c>
      <c r="D15" t="s">
        <v>2267</v>
      </c>
      <c r="E15">
        <v>71</v>
      </c>
      <c r="F15">
        <v>12217.78</v>
      </c>
      <c r="G15" t="s">
        <v>63</v>
      </c>
    </row>
    <row r="16" spans="1:7" x14ac:dyDescent="0.3">
      <c r="A16" t="s">
        <v>2273</v>
      </c>
      <c r="B16" t="s">
        <v>394</v>
      </c>
      <c r="C16" s="7">
        <v>45928</v>
      </c>
      <c r="D16" t="s">
        <v>2259</v>
      </c>
      <c r="E16">
        <v>111</v>
      </c>
      <c r="F16">
        <v>2660.55</v>
      </c>
      <c r="G16" t="s">
        <v>74</v>
      </c>
    </row>
    <row r="17" spans="1:7" x14ac:dyDescent="0.3">
      <c r="A17" t="s">
        <v>2274</v>
      </c>
      <c r="B17" t="s">
        <v>792</v>
      </c>
      <c r="C17" s="7">
        <v>45909</v>
      </c>
      <c r="D17" t="s">
        <v>2255</v>
      </c>
      <c r="E17">
        <v>35</v>
      </c>
      <c r="F17">
        <v>7098.34</v>
      </c>
      <c r="G17" t="s">
        <v>74</v>
      </c>
    </row>
    <row r="18" spans="1:7" x14ac:dyDescent="0.3">
      <c r="A18" t="s">
        <v>2275</v>
      </c>
      <c r="B18" t="s">
        <v>487</v>
      </c>
      <c r="C18" s="7">
        <v>45386</v>
      </c>
      <c r="D18" t="s">
        <v>2267</v>
      </c>
      <c r="E18">
        <v>66</v>
      </c>
      <c r="F18">
        <v>128.97</v>
      </c>
      <c r="G18" t="s">
        <v>63</v>
      </c>
    </row>
    <row r="19" spans="1:7" x14ac:dyDescent="0.3">
      <c r="A19" t="s">
        <v>2276</v>
      </c>
      <c r="B19" t="s">
        <v>616</v>
      </c>
      <c r="C19" s="7">
        <v>45726</v>
      </c>
      <c r="D19" t="s">
        <v>2267</v>
      </c>
      <c r="E19">
        <v>115</v>
      </c>
      <c r="F19">
        <v>16719.84</v>
      </c>
      <c r="G19" t="s">
        <v>63</v>
      </c>
    </row>
    <row r="20" spans="1:7" x14ac:dyDescent="0.3">
      <c r="A20" t="s">
        <v>2277</v>
      </c>
      <c r="B20" t="s">
        <v>1017</v>
      </c>
      <c r="C20" s="7">
        <v>45815</v>
      </c>
      <c r="D20" t="s">
        <v>2259</v>
      </c>
      <c r="E20">
        <v>1</v>
      </c>
      <c r="F20">
        <v>1106.51</v>
      </c>
      <c r="G20" t="s">
        <v>71</v>
      </c>
    </row>
    <row r="21" spans="1:7" x14ac:dyDescent="0.3">
      <c r="A21" t="s">
        <v>2278</v>
      </c>
      <c r="B21" t="s">
        <v>20</v>
      </c>
      <c r="C21" s="7">
        <v>45421</v>
      </c>
      <c r="D21" t="s">
        <v>2267</v>
      </c>
      <c r="E21">
        <v>41</v>
      </c>
      <c r="F21">
        <v>17866.490000000002</v>
      </c>
      <c r="G21" t="s">
        <v>71</v>
      </c>
    </row>
    <row r="22" spans="1:7" x14ac:dyDescent="0.3">
      <c r="A22" t="s">
        <v>2279</v>
      </c>
      <c r="B22" t="s">
        <v>678</v>
      </c>
      <c r="C22" s="7">
        <v>45667</v>
      </c>
      <c r="D22" t="s">
        <v>2261</v>
      </c>
      <c r="E22">
        <v>23</v>
      </c>
      <c r="F22">
        <v>1720.55</v>
      </c>
      <c r="G22" t="s">
        <v>71</v>
      </c>
    </row>
    <row r="23" spans="1:7" x14ac:dyDescent="0.3">
      <c r="A23" t="s">
        <v>2280</v>
      </c>
      <c r="B23" t="s">
        <v>335</v>
      </c>
      <c r="C23" s="7">
        <v>45981</v>
      </c>
      <c r="D23" t="s">
        <v>2261</v>
      </c>
      <c r="E23">
        <v>99</v>
      </c>
      <c r="F23">
        <v>18801.46</v>
      </c>
      <c r="G23" t="s">
        <v>71</v>
      </c>
    </row>
    <row r="24" spans="1:7" x14ac:dyDescent="0.3">
      <c r="A24" t="s">
        <v>2281</v>
      </c>
      <c r="B24" t="s">
        <v>887</v>
      </c>
      <c r="C24" s="7">
        <v>45565</v>
      </c>
      <c r="D24" t="s">
        <v>2261</v>
      </c>
      <c r="E24">
        <v>51</v>
      </c>
      <c r="F24">
        <v>6501.75</v>
      </c>
      <c r="G24" t="s">
        <v>63</v>
      </c>
    </row>
    <row r="25" spans="1:7" x14ac:dyDescent="0.3">
      <c r="A25" t="s">
        <v>2282</v>
      </c>
      <c r="B25" t="s">
        <v>588</v>
      </c>
      <c r="C25" s="7">
        <v>45894</v>
      </c>
      <c r="D25" t="s">
        <v>2261</v>
      </c>
      <c r="E25">
        <v>26</v>
      </c>
      <c r="F25">
        <v>1204.33</v>
      </c>
      <c r="G25" t="s">
        <v>74</v>
      </c>
    </row>
    <row r="26" spans="1:7" x14ac:dyDescent="0.3">
      <c r="A26" t="s">
        <v>2283</v>
      </c>
      <c r="B26" t="s">
        <v>1</v>
      </c>
      <c r="C26" s="7">
        <v>45783</v>
      </c>
      <c r="D26" t="s">
        <v>2255</v>
      </c>
      <c r="E26">
        <v>65</v>
      </c>
      <c r="F26">
        <v>18166.87</v>
      </c>
      <c r="G26" t="s">
        <v>71</v>
      </c>
    </row>
    <row r="27" spans="1:7" x14ac:dyDescent="0.3">
      <c r="A27" t="s">
        <v>2284</v>
      </c>
      <c r="B27" t="s">
        <v>893</v>
      </c>
      <c r="C27" s="7">
        <v>45529</v>
      </c>
      <c r="D27" t="s">
        <v>2261</v>
      </c>
      <c r="E27">
        <v>104</v>
      </c>
      <c r="F27">
        <v>7856.97</v>
      </c>
      <c r="G27" t="s">
        <v>71</v>
      </c>
    </row>
    <row r="28" spans="1:7" x14ac:dyDescent="0.3">
      <c r="A28" t="s">
        <v>2285</v>
      </c>
      <c r="B28" t="s">
        <v>932</v>
      </c>
      <c r="C28" s="7">
        <v>45743</v>
      </c>
      <c r="D28" t="s">
        <v>2267</v>
      </c>
      <c r="E28">
        <v>72</v>
      </c>
      <c r="F28">
        <v>1036.21</v>
      </c>
      <c r="G28" t="s">
        <v>74</v>
      </c>
    </row>
    <row r="29" spans="1:7" x14ac:dyDescent="0.3">
      <c r="A29" t="s">
        <v>2286</v>
      </c>
      <c r="B29" t="s">
        <v>27</v>
      </c>
      <c r="C29" s="7">
        <v>45533</v>
      </c>
      <c r="D29" t="s">
        <v>2259</v>
      </c>
      <c r="E29">
        <v>62</v>
      </c>
      <c r="F29">
        <v>19044.259999999998</v>
      </c>
      <c r="G29" t="s">
        <v>63</v>
      </c>
    </row>
    <row r="30" spans="1:7" x14ac:dyDescent="0.3">
      <c r="A30" t="s">
        <v>2287</v>
      </c>
      <c r="B30" t="s">
        <v>260</v>
      </c>
      <c r="C30" s="7">
        <v>45402</v>
      </c>
      <c r="D30" t="s">
        <v>2267</v>
      </c>
      <c r="E30">
        <v>50</v>
      </c>
      <c r="F30">
        <v>14943.37</v>
      </c>
      <c r="G30" t="s">
        <v>63</v>
      </c>
    </row>
    <row r="31" spans="1:7" x14ac:dyDescent="0.3">
      <c r="A31" t="s">
        <v>2288</v>
      </c>
      <c r="B31" t="s">
        <v>103</v>
      </c>
      <c r="C31" s="7">
        <v>46005</v>
      </c>
      <c r="D31" t="s">
        <v>2259</v>
      </c>
      <c r="E31">
        <v>103</v>
      </c>
      <c r="F31">
        <v>7810.97</v>
      </c>
      <c r="G31" t="s">
        <v>2256</v>
      </c>
    </row>
    <row r="32" spans="1:7" x14ac:dyDescent="0.3">
      <c r="A32" t="s">
        <v>2289</v>
      </c>
      <c r="B32" t="s">
        <v>556</v>
      </c>
      <c r="C32" s="7">
        <v>45733</v>
      </c>
      <c r="D32" t="s">
        <v>2267</v>
      </c>
      <c r="E32">
        <v>90</v>
      </c>
      <c r="F32">
        <v>15202.99</v>
      </c>
      <c r="G32" t="s">
        <v>2256</v>
      </c>
    </row>
    <row r="33" spans="1:7" x14ac:dyDescent="0.3">
      <c r="A33" t="s">
        <v>2290</v>
      </c>
      <c r="B33" t="s">
        <v>902</v>
      </c>
      <c r="C33" s="7">
        <v>45464</v>
      </c>
      <c r="D33" t="s">
        <v>2261</v>
      </c>
      <c r="E33">
        <v>96</v>
      </c>
      <c r="F33">
        <v>7748.91</v>
      </c>
      <c r="G33" t="s">
        <v>63</v>
      </c>
    </row>
    <row r="34" spans="1:7" x14ac:dyDescent="0.3">
      <c r="A34" t="s">
        <v>2291</v>
      </c>
      <c r="B34" t="s">
        <v>552</v>
      </c>
      <c r="C34" s="7">
        <v>45860</v>
      </c>
      <c r="D34" t="s">
        <v>2259</v>
      </c>
      <c r="E34">
        <v>1</v>
      </c>
      <c r="F34">
        <v>4400.03</v>
      </c>
      <c r="G34" t="s">
        <v>2256</v>
      </c>
    </row>
    <row r="35" spans="1:7" x14ac:dyDescent="0.3">
      <c r="A35" t="s">
        <v>2292</v>
      </c>
      <c r="B35" t="s">
        <v>467</v>
      </c>
      <c r="C35" s="7">
        <v>45813</v>
      </c>
      <c r="D35" t="s">
        <v>2255</v>
      </c>
      <c r="E35">
        <v>51</v>
      </c>
      <c r="F35">
        <v>4806.43</v>
      </c>
      <c r="G35" t="s">
        <v>2256</v>
      </c>
    </row>
    <row r="36" spans="1:7" x14ac:dyDescent="0.3">
      <c r="A36" t="s">
        <v>2293</v>
      </c>
      <c r="B36" t="s">
        <v>152</v>
      </c>
      <c r="C36" s="7">
        <v>45404</v>
      </c>
      <c r="D36" t="s">
        <v>2267</v>
      </c>
      <c r="E36">
        <v>6</v>
      </c>
      <c r="F36">
        <v>2672.39</v>
      </c>
      <c r="G36" t="s">
        <v>71</v>
      </c>
    </row>
    <row r="37" spans="1:7" x14ac:dyDescent="0.3">
      <c r="A37" t="s">
        <v>2294</v>
      </c>
      <c r="B37" t="s">
        <v>1021</v>
      </c>
      <c r="C37" s="7">
        <v>45447</v>
      </c>
      <c r="D37" t="s">
        <v>2255</v>
      </c>
      <c r="E37">
        <v>2</v>
      </c>
      <c r="F37">
        <v>17205.66</v>
      </c>
      <c r="G37" t="s">
        <v>71</v>
      </c>
    </row>
    <row r="38" spans="1:7" x14ac:dyDescent="0.3">
      <c r="A38" t="s">
        <v>2295</v>
      </c>
      <c r="B38" t="s">
        <v>23</v>
      </c>
      <c r="C38" s="7">
        <v>45388</v>
      </c>
      <c r="D38" t="s">
        <v>2261</v>
      </c>
      <c r="E38">
        <v>82</v>
      </c>
      <c r="F38">
        <v>673.37</v>
      </c>
      <c r="G38" t="s">
        <v>63</v>
      </c>
    </row>
    <row r="39" spans="1:7" x14ac:dyDescent="0.3">
      <c r="A39" t="s">
        <v>2296</v>
      </c>
      <c r="B39" t="s">
        <v>963</v>
      </c>
      <c r="C39" s="7">
        <v>45579</v>
      </c>
      <c r="D39" t="s">
        <v>2267</v>
      </c>
      <c r="E39">
        <v>21</v>
      </c>
      <c r="F39">
        <v>13802.34</v>
      </c>
      <c r="G39" t="s">
        <v>2256</v>
      </c>
    </row>
    <row r="40" spans="1:7" x14ac:dyDescent="0.3">
      <c r="A40" t="s">
        <v>2297</v>
      </c>
      <c r="B40" t="s">
        <v>760</v>
      </c>
      <c r="C40" s="7">
        <v>45931</v>
      </c>
      <c r="D40" t="s">
        <v>2259</v>
      </c>
      <c r="E40">
        <v>6</v>
      </c>
      <c r="F40">
        <v>2747.65</v>
      </c>
      <c r="G40" t="s">
        <v>2256</v>
      </c>
    </row>
    <row r="41" spans="1:7" x14ac:dyDescent="0.3">
      <c r="A41" t="s">
        <v>2298</v>
      </c>
      <c r="B41" t="s">
        <v>170</v>
      </c>
      <c r="C41" s="7">
        <v>45665</v>
      </c>
      <c r="D41" t="s">
        <v>2255</v>
      </c>
      <c r="E41">
        <v>81</v>
      </c>
      <c r="F41">
        <v>11265.09</v>
      </c>
      <c r="G41" t="s">
        <v>2256</v>
      </c>
    </row>
    <row r="42" spans="1:7" x14ac:dyDescent="0.3">
      <c r="A42" t="s">
        <v>2299</v>
      </c>
      <c r="B42" t="s">
        <v>440</v>
      </c>
      <c r="C42" s="7">
        <v>45646</v>
      </c>
      <c r="D42" t="s">
        <v>2261</v>
      </c>
      <c r="E42">
        <v>77</v>
      </c>
      <c r="F42">
        <v>15904.62</v>
      </c>
      <c r="G42" t="s">
        <v>63</v>
      </c>
    </row>
    <row r="43" spans="1:7" x14ac:dyDescent="0.3">
      <c r="A43" t="s">
        <v>2300</v>
      </c>
      <c r="B43" t="s">
        <v>499</v>
      </c>
      <c r="C43" s="7">
        <v>45969</v>
      </c>
      <c r="D43" t="s">
        <v>2259</v>
      </c>
      <c r="E43">
        <v>7</v>
      </c>
      <c r="F43">
        <v>6366.46</v>
      </c>
      <c r="G43" t="s">
        <v>2256</v>
      </c>
    </row>
    <row r="44" spans="1:7" x14ac:dyDescent="0.3">
      <c r="A44" t="s">
        <v>2301</v>
      </c>
      <c r="B44" t="s">
        <v>730</v>
      </c>
      <c r="C44" s="7">
        <v>45717</v>
      </c>
      <c r="D44" t="s">
        <v>2255</v>
      </c>
      <c r="E44">
        <v>104</v>
      </c>
      <c r="F44">
        <v>8457.98</v>
      </c>
      <c r="G44" t="s">
        <v>74</v>
      </c>
    </row>
    <row r="45" spans="1:7" x14ac:dyDescent="0.3">
      <c r="A45" t="s">
        <v>2302</v>
      </c>
      <c r="B45" t="s">
        <v>328</v>
      </c>
      <c r="C45" s="7">
        <v>45580</v>
      </c>
      <c r="D45" t="s">
        <v>2259</v>
      </c>
      <c r="E45">
        <v>2</v>
      </c>
      <c r="F45">
        <v>5997.02</v>
      </c>
      <c r="G45" t="s">
        <v>74</v>
      </c>
    </row>
    <row r="46" spans="1:7" x14ac:dyDescent="0.3">
      <c r="A46" t="s">
        <v>2303</v>
      </c>
      <c r="B46" t="s">
        <v>751</v>
      </c>
      <c r="C46" s="7">
        <v>45608</v>
      </c>
      <c r="D46" t="s">
        <v>2261</v>
      </c>
      <c r="E46">
        <v>46</v>
      </c>
      <c r="F46">
        <v>16015.56</v>
      </c>
      <c r="G46" t="s">
        <v>71</v>
      </c>
    </row>
    <row r="47" spans="1:7" x14ac:dyDescent="0.3">
      <c r="A47" t="s">
        <v>2304</v>
      </c>
      <c r="B47" t="s">
        <v>119</v>
      </c>
      <c r="C47" s="7">
        <v>45574</v>
      </c>
      <c r="D47" t="s">
        <v>2255</v>
      </c>
      <c r="E47">
        <v>48</v>
      </c>
      <c r="F47">
        <v>19102.37</v>
      </c>
      <c r="G47" t="s">
        <v>71</v>
      </c>
    </row>
    <row r="48" spans="1:7" x14ac:dyDescent="0.3">
      <c r="A48" t="s">
        <v>2305</v>
      </c>
      <c r="B48" t="s">
        <v>67</v>
      </c>
      <c r="C48" s="7">
        <v>45830</v>
      </c>
      <c r="D48" t="s">
        <v>2259</v>
      </c>
      <c r="E48">
        <v>74</v>
      </c>
      <c r="F48">
        <v>1330.58</v>
      </c>
      <c r="G48" t="s">
        <v>74</v>
      </c>
    </row>
    <row r="49" spans="1:7" x14ac:dyDescent="0.3">
      <c r="A49" t="s">
        <v>2306</v>
      </c>
      <c r="B49" t="s">
        <v>524</v>
      </c>
      <c r="C49" s="7">
        <v>45498</v>
      </c>
      <c r="D49" t="s">
        <v>2261</v>
      </c>
      <c r="E49">
        <v>32</v>
      </c>
      <c r="F49">
        <v>11855.54</v>
      </c>
      <c r="G49" t="s">
        <v>63</v>
      </c>
    </row>
    <row r="50" spans="1:7" x14ac:dyDescent="0.3">
      <c r="A50" t="s">
        <v>2307</v>
      </c>
      <c r="B50" t="s">
        <v>683</v>
      </c>
      <c r="C50" s="7">
        <v>45631</v>
      </c>
      <c r="D50" t="s">
        <v>2259</v>
      </c>
      <c r="E50">
        <v>34</v>
      </c>
      <c r="F50">
        <v>14665.27</v>
      </c>
      <c r="G50" t="s">
        <v>63</v>
      </c>
    </row>
    <row r="51" spans="1:7" x14ac:dyDescent="0.3">
      <c r="A51" t="s">
        <v>2308</v>
      </c>
      <c r="B51" t="s">
        <v>1005</v>
      </c>
      <c r="C51" s="7">
        <v>45671</v>
      </c>
      <c r="D51" t="s">
        <v>2259</v>
      </c>
      <c r="E51">
        <v>75</v>
      </c>
      <c r="F51">
        <v>1182.8399999999999</v>
      </c>
      <c r="G51" t="s">
        <v>2256</v>
      </c>
    </row>
    <row r="52" spans="1:7" x14ac:dyDescent="0.3">
      <c r="A52" t="s">
        <v>2309</v>
      </c>
      <c r="B52" t="s">
        <v>744</v>
      </c>
      <c r="C52" s="7">
        <v>45670</v>
      </c>
      <c r="D52" t="s">
        <v>2259</v>
      </c>
      <c r="E52">
        <v>56</v>
      </c>
      <c r="F52">
        <v>19292.03</v>
      </c>
      <c r="G52" t="s">
        <v>63</v>
      </c>
    </row>
    <row r="53" spans="1:7" x14ac:dyDescent="0.3">
      <c r="A53" t="s">
        <v>2310</v>
      </c>
      <c r="B53" t="s">
        <v>866</v>
      </c>
      <c r="C53" s="7">
        <v>46011</v>
      </c>
      <c r="D53" t="s">
        <v>2267</v>
      </c>
      <c r="E53">
        <v>50</v>
      </c>
      <c r="F53">
        <v>17714.98</v>
      </c>
      <c r="G53" t="s">
        <v>74</v>
      </c>
    </row>
    <row r="54" spans="1:7" x14ac:dyDescent="0.3">
      <c r="A54" t="s">
        <v>2311</v>
      </c>
      <c r="B54" t="s">
        <v>152</v>
      </c>
      <c r="C54" s="7">
        <v>45919</v>
      </c>
      <c r="D54" t="s">
        <v>2259</v>
      </c>
      <c r="E54">
        <v>7</v>
      </c>
      <c r="F54">
        <v>15462.74</v>
      </c>
      <c r="G54" t="s">
        <v>74</v>
      </c>
    </row>
    <row r="55" spans="1:7" x14ac:dyDescent="0.3">
      <c r="A55" t="s">
        <v>2312</v>
      </c>
      <c r="B55" t="s">
        <v>505</v>
      </c>
      <c r="C55" s="7">
        <v>45620</v>
      </c>
      <c r="D55" t="s">
        <v>2267</v>
      </c>
      <c r="E55">
        <v>32</v>
      </c>
      <c r="F55">
        <v>17125.22</v>
      </c>
      <c r="G55" t="s">
        <v>71</v>
      </c>
    </row>
    <row r="56" spans="1:7" x14ac:dyDescent="0.3">
      <c r="A56" t="s">
        <v>2313</v>
      </c>
      <c r="B56" t="s">
        <v>948</v>
      </c>
      <c r="C56" s="7">
        <v>45383</v>
      </c>
      <c r="D56" t="s">
        <v>2267</v>
      </c>
      <c r="E56">
        <v>56</v>
      </c>
      <c r="F56">
        <v>9828.49</v>
      </c>
      <c r="G56" t="s">
        <v>74</v>
      </c>
    </row>
    <row r="57" spans="1:7" x14ac:dyDescent="0.3">
      <c r="A57" t="s">
        <v>2314</v>
      </c>
      <c r="B57" t="s">
        <v>335</v>
      </c>
      <c r="C57" s="7">
        <v>46007</v>
      </c>
      <c r="D57" t="s">
        <v>2267</v>
      </c>
      <c r="E57">
        <v>34</v>
      </c>
      <c r="F57">
        <v>894.37</v>
      </c>
      <c r="G57" t="s">
        <v>74</v>
      </c>
    </row>
    <row r="58" spans="1:7" x14ac:dyDescent="0.3">
      <c r="A58" t="s">
        <v>2315</v>
      </c>
      <c r="B58" t="s">
        <v>776</v>
      </c>
      <c r="C58" s="7">
        <v>45574</v>
      </c>
      <c r="D58" t="s">
        <v>2259</v>
      </c>
      <c r="E58">
        <v>120</v>
      </c>
      <c r="F58">
        <v>16097.5</v>
      </c>
      <c r="G58" t="s">
        <v>2256</v>
      </c>
    </row>
    <row r="59" spans="1:7" x14ac:dyDescent="0.3">
      <c r="A59" t="s">
        <v>2316</v>
      </c>
      <c r="B59" t="s">
        <v>588</v>
      </c>
      <c r="C59" s="7">
        <v>45751</v>
      </c>
      <c r="D59" t="s">
        <v>2261</v>
      </c>
      <c r="E59">
        <v>93</v>
      </c>
      <c r="F59">
        <v>10744.86</v>
      </c>
      <c r="G59" t="s">
        <v>63</v>
      </c>
    </row>
    <row r="60" spans="1:7" x14ac:dyDescent="0.3">
      <c r="A60" t="s">
        <v>2317</v>
      </c>
      <c r="B60" t="s">
        <v>699</v>
      </c>
      <c r="C60" s="7">
        <v>45540</v>
      </c>
      <c r="D60" t="s">
        <v>2261</v>
      </c>
      <c r="E60">
        <v>3</v>
      </c>
      <c r="F60">
        <v>11547.11</v>
      </c>
      <c r="G60" t="s">
        <v>63</v>
      </c>
    </row>
    <row r="61" spans="1:7" x14ac:dyDescent="0.3">
      <c r="A61" t="s">
        <v>2318</v>
      </c>
      <c r="B61" t="s">
        <v>443</v>
      </c>
      <c r="C61" s="7">
        <v>45967</v>
      </c>
      <c r="D61" t="s">
        <v>2261</v>
      </c>
      <c r="E61">
        <v>30</v>
      </c>
      <c r="F61">
        <v>15246.79</v>
      </c>
      <c r="G61" t="s">
        <v>74</v>
      </c>
    </row>
    <row r="62" spans="1:7" x14ac:dyDescent="0.3">
      <c r="A62" t="s">
        <v>2319</v>
      </c>
      <c r="B62" t="s">
        <v>467</v>
      </c>
      <c r="C62" s="7">
        <v>45563</v>
      </c>
      <c r="D62" t="s">
        <v>2261</v>
      </c>
      <c r="E62">
        <v>39</v>
      </c>
      <c r="F62">
        <v>9943.42</v>
      </c>
      <c r="G62" t="s">
        <v>71</v>
      </c>
    </row>
    <row r="63" spans="1:7" x14ac:dyDescent="0.3">
      <c r="A63" t="s">
        <v>2320</v>
      </c>
      <c r="B63" t="s">
        <v>1</v>
      </c>
      <c r="C63" s="7">
        <v>45734</v>
      </c>
      <c r="D63" t="s">
        <v>2255</v>
      </c>
      <c r="E63">
        <v>103</v>
      </c>
      <c r="F63">
        <v>13486.09</v>
      </c>
      <c r="G63" t="s">
        <v>63</v>
      </c>
    </row>
    <row r="64" spans="1:7" x14ac:dyDescent="0.3">
      <c r="A64" t="s">
        <v>2321</v>
      </c>
      <c r="B64" t="s">
        <v>776</v>
      </c>
      <c r="C64" s="7">
        <v>45608</v>
      </c>
      <c r="D64" t="s">
        <v>2267</v>
      </c>
      <c r="E64">
        <v>17</v>
      </c>
      <c r="F64">
        <v>17944.310000000001</v>
      </c>
      <c r="G64" t="s">
        <v>71</v>
      </c>
    </row>
    <row r="65" spans="1:7" x14ac:dyDescent="0.3">
      <c r="A65" t="s">
        <v>2322</v>
      </c>
      <c r="B65" t="s">
        <v>744</v>
      </c>
      <c r="C65" s="7">
        <v>45694</v>
      </c>
      <c r="D65" t="s">
        <v>2267</v>
      </c>
      <c r="E65">
        <v>32</v>
      </c>
      <c r="F65">
        <v>4347.54</v>
      </c>
      <c r="G65" t="s">
        <v>74</v>
      </c>
    </row>
    <row r="66" spans="1:7" x14ac:dyDescent="0.3">
      <c r="A66" t="s">
        <v>2323</v>
      </c>
      <c r="B66" t="s">
        <v>967</v>
      </c>
      <c r="C66" s="7">
        <v>45648</v>
      </c>
      <c r="D66" t="s">
        <v>2261</v>
      </c>
      <c r="E66">
        <v>64</v>
      </c>
      <c r="F66">
        <v>9043.07</v>
      </c>
      <c r="G66" t="s">
        <v>2256</v>
      </c>
    </row>
    <row r="67" spans="1:7" x14ac:dyDescent="0.3">
      <c r="A67" t="s">
        <v>2324</v>
      </c>
      <c r="B67" t="s">
        <v>255</v>
      </c>
      <c r="C67" s="7">
        <v>45809</v>
      </c>
      <c r="D67" t="s">
        <v>2255</v>
      </c>
      <c r="E67">
        <v>51</v>
      </c>
      <c r="F67">
        <v>8096</v>
      </c>
      <c r="G67" t="s">
        <v>63</v>
      </c>
    </row>
    <row r="68" spans="1:7" x14ac:dyDescent="0.3">
      <c r="A68" t="s">
        <v>2325</v>
      </c>
      <c r="B68" t="s">
        <v>505</v>
      </c>
      <c r="C68" s="7">
        <v>45770</v>
      </c>
      <c r="D68" t="s">
        <v>2255</v>
      </c>
      <c r="E68">
        <v>27</v>
      </c>
      <c r="F68">
        <v>11214.38</v>
      </c>
      <c r="G68" t="s">
        <v>71</v>
      </c>
    </row>
    <row r="69" spans="1:7" x14ac:dyDescent="0.3">
      <c r="A69" t="s">
        <v>2326</v>
      </c>
      <c r="B69" t="s">
        <v>588</v>
      </c>
      <c r="C69" s="7">
        <v>45534</v>
      </c>
      <c r="D69" t="s">
        <v>2267</v>
      </c>
      <c r="E69">
        <v>79</v>
      </c>
      <c r="F69">
        <v>6332.52</v>
      </c>
      <c r="G69" t="s">
        <v>63</v>
      </c>
    </row>
    <row r="70" spans="1:7" x14ac:dyDescent="0.3">
      <c r="A70" t="s">
        <v>2327</v>
      </c>
      <c r="B70" t="s">
        <v>963</v>
      </c>
      <c r="C70" s="7">
        <v>45692</v>
      </c>
      <c r="D70" t="s">
        <v>2255</v>
      </c>
      <c r="E70">
        <v>82</v>
      </c>
      <c r="F70">
        <v>9511.0400000000009</v>
      </c>
      <c r="G70" t="s">
        <v>63</v>
      </c>
    </row>
    <row r="71" spans="1:7" x14ac:dyDescent="0.3">
      <c r="A71" t="s">
        <v>2328</v>
      </c>
      <c r="B71" t="s">
        <v>782</v>
      </c>
      <c r="C71" s="7">
        <v>45643</v>
      </c>
      <c r="D71" t="s">
        <v>2255</v>
      </c>
      <c r="E71">
        <v>87</v>
      </c>
      <c r="F71">
        <v>12995.27</v>
      </c>
      <c r="G71" t="s">
        <v>2256</v>
      </c>
    </row>
    <row r="72" spans="1:7" x14ac:dyDescent="0.3">
      <c r="A72" t="s">
        <v>2329</v>
      </c>
      <c r="B72" t="s">
        <v>590</v>
      </c>
      <c r="C72" s="7">
        <v>45631</v>
      </c>
      <c r="D72" t="s">
        <v>2259</v>
      </c>
      <c r="E72">
        <v>59</v>
      </c>
      <c r="F72">
        <v>8462.94</v>
      </c>
      <c r="G72" t="s">
        <v>63</v>
      </c>
    </row>
    <row r="73" spans="1:7" x14ac:dyDescent="0.3">
      <c r="A73" t="s">
        <v>2330</v>
      </c>
      <c r="B73" t="s">
        <v>939</v>
      </c>
      <c r="C73" s="7">
        <v>45758</v>
      </c>
      <c r="D73" t="s">
        <v>2261</v>
      </c>
      <c r="E73">
        <v>2</v>
      </c>
      <c r="F73">
        <v>16871.12</v>
      </c>
      <c r="G73" t="s">
        <v>74</v>
      </c>
    </row>
    <row r="74" spans="1:7" x14ac:dyDescent="0.3">
      <c r="A74" t="s">
        <v>2331</v>
      </c>
      <c r="B74" t="s">
        <v>866</v>
      </c>
      <c r="C74" s="7">
        <v>45928</v>
      </c>
      <c r="D74" t="s">
        <v>2267</v>
      </c>
      <c r="E74">
        <v>82</v>
      </c>
      <c r="F74">
        <v>16954.3</v>
      </c>
      <c r="G74" t="s">
        <v>2256</v>
      </c>
    </row>
    <row r="75" spans="1:7" x14ac:dyDescent="0.3">
      <c r="A75" t="s">
        <v>2332</v>
      </c>
      <c r="B75" t="s">
        <v>149</v>
      </c>
      <c r="C75" s="7">
        <v>45569</v>
      </c>
      <c r="D75" t="s">
        <v>2267</v>
      </c>
      <c r="E75">
        <v>74</v>
      </c>
      <c r="F75">
        <v>9011.5499999999993</v>
      </c>
      <c r="G75" t="s">
        <v>63</v>
      </c>
    </row>
    <row r="76" spans="1:7" x14ac:dyDescent="0.3">
      <c r="A76" t="s">
        <v>2333</v>
      </c>
      <c r="B76" t="s">
        <v>26</v>
      </c>
      <c r="C76" s="7">
        <v>45944</v>
      </c>
      <c r="D76" t="s">
        <v>2259</v>
      </c>
      <c r="E76">
        <v>5</v>
      </c>
      <c r="F76">
        <v>11826.62</v>
      </c>
      <c r="G76" t="s">
        <v>63</v>
      </c>
    </row>
    <row r="77" spans="1:7" x14ac:dyDescent="0.3">
      <c r="A77" t="s">
        <v>2334</v>
      </c>
      <c r="B77" t="s">
        <v>121</v>
      </c>
      <c r="C77" s="7">
        <v>45607</v>
      </c>
      <c r="D77" t="s">
        <v>2261</v>
      </c>
      <c r="E77">
        <v>19</v>
      </c>
      <c r="F77">
        <v>16488.57</v>
      </c>
      <c r="G77" t="s">
        <v>2256</v>
      </c>
    </row>
    <row r="78" spans="1:7" x14ac:dyDescent="0.3">
      <c r="A78" t="s">
        <v>2335</v>
      </c>
      <c r="B78" t="s">
        <v>529</v>
      </c>
      <c r="C78" s="7">
        <v>45521</v>
      </c>
      <c r="D78" t="s">
        <v>2261</v>
      </c>
      <c r="E78">
        <v>76</v>
      </c>
      <c r="F78">
        <v>5219.47</v>
      </c>
      <c r="G78" t="s">
        <v>2256</v>
      </c>
    </row>
    <row r="79" spans="1:7" x14ac:dyDescent="0.3">
      <c r="A79" t="s">
        <v>2336</v>
      </c>
      <c r="B79" t="s">
        <v>648</v>
      </c>
      <c r="C79" s="7">
        <v>45515</v>
      </c>
      <c r="D79" t="s">
        <v>2255</v>
      </c>
      <c r="E79">
        <v>85</v>
      </c>
      <c r="F79">
        <v>17353.78</v>
      </c>
      <c r="G79" t="s">
        <v>71</v>
      </c>
    </row>
    <row r="80" spans="1:7" x14ac:dyDescent="0.3">
      <c r="A80" t="s">
        <v>2337</v>
      </c>
      <c r="B80" t="s">
        <v>562</v>
      </c>
      <c r="C80" s="7">
        <v>45834</v>
      </c>
      <c r="D80" t="s">
        <v>2259</v>
      </c>
      <c r="E80">
        <v>95</v>
      </c>
      <c r="F80">
        <v>14010.33</v>
      </c>
      <c r="G80" t="s">
        <v>74</v>
      </c>
    </row>
    <row r="81" spans="1:7" x14ac:dyDescent="0.3">
      <c r="A81" t="s">
        <v>2338</v>
      </c>
      <c r="B81" t="s">
        <v>367</v>
      </c>
      <c r="C81" s="7">
        <v>46014</v>
      </c>
      <c r="D81" t="s">
        <v>2267</v>
      </c>
      <c r="E81">
        <v>64</v>
      </c>
      <c r="F81">
        <v>6073.41</v>
      </c>
      <c r="G81" t="s">
        <v>74</v>
      </c>
    </row>
    <row r="82" spans="1:7" x14ac:dyDescent="0.3">
      <c r="A82" t="s">
        <v>2339</v>
      </c>
      <c r="B82" t="s">
        <v>611</v>
      </c>
      <c r="C82" s="7">
        <v>45968</v>
      </c>
      <c r="D82" t="s">
        <v>2259</v>
      </c>
      <c r="E82">
        <v>9</v>
      </c>
      <c r="F82">
        <v>16960.169999999998</v>
      </c>
      <c r="G82" t="s">
        <v>74</v>
      </c>
    </row>
    <row r="83" spans="1:7" x14ac:dyDescent="0.3">
      <c r="A83" t="s">
        <v>2340</v>
      </c>
      <c r="B83" t="s">
        <v>879</v>
      </c>
      <c r="C83" s="7">
        <v>45935</v>
      </c>
      <c r="D83" t="s">
        <v>2259</v>
      </c>
      <c r="E83">
        <v>8</v>
      </c>
      <c r="F83">
        <v>6663.57</v>
      </c>
      <c r="G83" t="s">
        <v>63</v>
      </c>
    </row>
    <row r="84" spans="1:7" x14ac:dyDescent="0.3">
      <c r="A84" t="s">
        <v>2341</v>
      </c>
      <c r="B84" t="s">
        <v>203</v>
      </c>
      <c r="C84" s="7">
        <v>45540</v>
      </c>
      <c r="D84" t="s">
        <v>2259</v>
      </c>
      <c r="E84">
        <v>90</v>
      </c>
      <c r="F84">
        <v>1633</v>
      </c>
      <c r="G84" t="s">
        <v>74</v>
      </c>
    </row>
    <row r="85" spans="1:7" x14ac:dyDescent="0.3">
      <c r="A85" t="s">
        <v>2342</v>
      </c>
      <c r="B85" t="s">
        <v>487</v>
      </c>
      <c r="C85" s="7">
        <v>45964</v>
      </c>
      <c r="D85" t="s">
        <v>2259</v>
      </c>
      <c r="E85">
        <v>40</v>
      </c>
      <c r="F85">
        <v>9404.02</v>
      </c>
      <c r="G85" t="s">
        <v>63</v>
      </c>
    </row>
    <row r="86" spans="1:7" x14ac:dyDescent="0.3">
      <c r="A86" t="s">
        <v>2343</v>
      </c>
      <c r="B86" t="s">
        <v>760</v>
      </c>
      <c r="C86" s="7">
        <v>46011</v>
      </c>
      <c r="D86" t="s">
        <v>2267</v>
      </c>
      <c r="E86">
        <v>66</v>
      </c>
      <c r="F86">
        <v>8624.7900000000009</v>
      </c>
      <c r="G86" t="s">
        <v>2256</v>
      </c>
    </row>
    <row r="87" spans="1:7" x14ac:dyDescent="0.3">
      <c r="A87" t="s">
        <v>2344</v>
      </c>
      <c r="B87" t="s">
        <v>645</v>
      </c>
      <c r="C87" s="7">
        <v>45986</v>
      </c>
      <c r="D87" t="s">
        <v>2261</v>
      </c>
      <c r="E87">
        <v>114</v>
      </c>
      <c r="F87">
        <v>13597.59</v>
      </c>
      <c r="G87" t="s">
        <v>74</v>
      </c>
    </row>
    <row r="88" spans="1:7" x14ac:dyDescent="0.3">
      <c r="A88" t="s">
        <v>2345</v>
      </c>
      <c r="B88" t="s">
        <v>556</v>
      </c>
      <c r="C88" s="7">
        <v>45723</v>
      </c>
      <c r="D88" t="s">
        <v>2267</v>
      </c>
      <c r="E88">
        <v>46</v>
      </c>
      <c r="F88">
        <v>18027.28</v>
      </c>
      <c r="G88" t="s">
        <v>2256</v>
      </c>
    </row>
    <row r="89" spans="1:7" x14ac:dyDescent="0.3">
      <c r="A89" t="s">
        <v>2346</v>
      </c>
      <c r="B89" t="s">
        <v>634</v>
      </c>
      <c r="C89" s="7">
        <v>45820</v>
      </c>
      <c r="D89" t="s">
        <v>2259</v>
      </c>
      <c r="E89">
        <v>86</v>
      </c>
      <c r="F89">
        <v>18543.099999999999</v>
      </c>
      <c r="G89" t="s">
        <v>2256</v>
      </c>
    </row>
    <row r="90" spans="1:7" x14ac:dyDescent="0.3">
      <c r="A90" t="s">
        <v>2347</v>
      </c>
      <c r="B90" t="s">
        <v>606</v>
      </c>
      <c r="C90" s="7">
        <v>45835</v>
      </c>
      <c r="D90" t="s">
        <v>2259</v>
      </c>
      <c r="E90">
        <v>46</v>
      </c>
      <c r="F90">
        <v>2087.5300000000002</v>
      </c>
      <c r="G90" t="s">
        <v>74</v>
      </c>
    </row>
    <row r="91" spans="1:7" x14ac:dyDescent="0.3">
      <c r="A91" t="s">
        <v>2348</v>
      </c>
      <c r="B91" t="s">
        <v>487</v>
      </c>
      <c r="C91" s="7">
        <v>45799</v>
      </c>
      <c r="D91" t="s">
        <v>2255</v>
      </c>
      <c r="E91">
        <v>1</v>
      </c>
      <c r="F91">
        <v>1140.83</v>
      </c>
      <c r="G91" t="s">
        <v>2256</v>
      </c>
    </row>
    <row r="92" spans="1:7" x14ac:dyDescent="0.3">
      <c r="A92" t="s">
        <v>2349</v>
      </c>
      <c r="B92" t="s">
        <v>171</v>
      </c>
      <c r="C92" s="7">
        <v>45985</v>
      </c>
      <c r="D92" t="s">
        <v>2261</v>
      </c>
      <c r="E92">
        <v>38</v>
      </c>
      <c r="F92">
        <v>13697.54</v>
      </c>
      <c r="G92" t="s">
        <v>63</v>
      </c>
    </row>
    <row r="93" spans="1:7" x14ac:dyDescent="0.3">
      <c r="A93" t="s">
        <v>2350</v>
      </c>
      <c r="B93" t="s">
        <v>455</v>
      </c>
      <c r="C93" s="7">
        <v>45847</v>
      </c>
      <c r="D93" t="s">
        <v>2267</v>
      </c>
      <c r="E93">
        <v>42</v>
      </c>
      <c r="F93">
        <v>2219.58</v>
      </c>
      <c r="G93" t="s">
        <v>74</v>
      </c>
    </row>
    <row r="94" spans="1:7" x14ac:dyDescent="0.3">
      <c r="A94" t="s">
        <v>2351</v>
      </c>
      <c r="B94" t="s">
        <v>429</v>
      </c>
      <c r="C94" s="7">
        <v>45491</v>
      </c>
      <c r="D94" t="s">
        <v>2259</v>
      </c>
      <c r="E94">
        <v>120</v>
      </c>
      <c r="F94">
        <v>5992.51</v>
      </c>
      <c r="G94" t="s">
        <v>74</v>
      </c>
    </row>
    <row r="95" spans="1:7" x14ac:dyDescent="0.3">
      <c r="A95" t="s">
        <v>2352</v>
      </c>
      <c r="B95" t="s">
        <v>201</v>
      </c>
      <c r="C95" s="7">
        <v>45815</v>
      </c>
      <c r="D95" t="s">
        <v>2259</v>
      </c>
      <c r="E95">
        <v>3</v>
      </c>
      <c r="F95">
        <v>10299.92</v>
      </c>
      <c r="G95" t="s">
        <v>74</v>
      </c>
    </row>
    <row r="96" spans="1:7" x14ac:dyDescent="0.3">
      <c r="A96" t="s">
        <v>2353</v>
      </c>
      <c r="B96" t="s">
        <v>317</v>
      </c>
      <c r="C96" s="7">
        <v>45574</v>
      </c>
      <c r="D96" t="s">
        <v>2255</v>
      </c>
      <c r="E96">
        <v>58</v>
      </c>
      <c r="F96">
        <v>495.61</v>
      </c>
      <c r="G96" t="s">
        <v>74</v>
      </c>
    </row>
    <row r="97" spans="1:7" x14ac:dyDescent="0.3">
      <c r="A97" t="s">
        <v>2354</v>
      </c>
      <c r="B97" t="s">
        <v>430</v>
      </c>
      <c r="C97" s="7">
        <v>46021</v>
      </c>
      <c r="D97" t="s">
        <v>2267</v>
      </c>
      <c r="E97">
        <v>104</v>
      </c>
      <c r="F97">
        <v>18738.53</v>
      </c>
      <c r="G97" t="s">
        <v>74</v>
      </c>
    </row>
    <row r="98" spans="1:7" x14ac:dyDescent="0.3">
      <c r="A98" t="s">
        <v>2355</v>
      </c>
      <c r="B98" t="s">
        <v>87</v>
      </c>
      <c r="C98" s="7">
        <v>45977</v>
      </c>
      <c r="D98" t="s">
        <v>2255</v>
      </c>
      <c r="E98">
        <v>23</v>
      </c>
      <c r="F98">
        <v>999.92</v>
      </c>
      <c r="G98" t="s">
        <v>63</v>
      </c>
    </row>
    <row r="99" spans="1:7" x14ac:dyDescent="0.3">
      <c r="A99" t="s">
        <v>2356</v>
      </c>
      <c r="B99" t="s">
        <v>2</v>
      </c>
      <c r="C99" s="7">
        <v>46020</v>
      </c>
      <c r="D99" t="s">
        <v>2259</v>
      </c>
      <c r="E99">
        <v>18</v>
      </c>
      <c r="F99">
        <v>16829.919999999998</v>
      </c>
      <c r="G99" t="s">
        <v>63</v>
      </c>
    </row>
    <row r="100" spans="1:7" x14ac:dyDescent="0.3">
      <c r="A100" t="s">
        <v>2357</v>
      </c>
      <c r="B100" t="s">
        <v>353</v>
      </c>
      <c r="C100" s="7">
        <v>45656</v>
      </c>
      <c r="D100" t="s">
        <v>2261</v>
      </c>
      <c r="E100">
        <v>47</v>
      </c>
      <c r="F100">
        <v>7845.89</v>
      </c>
      <c r="G100" t="s">
        <v>63</v>
      </c>
    </row>
    <row r="101" spans="1:7" x14ac:dyDescent="0.3">
      <c r="A101" t="s">
        <v>2358</v>
      </c>
      <c r="B101" t="s">
        <v>359</v>
      </c>
      <c r="C101" s="7">
        <v>45626</v>
      </c>
      <c r="D101" t="s">
        <v>2255</v>
      </c>
      <c r="E101">
        <v>60</v>
      </c>
      <c r="F101">
        <v>4172.41</v>
      </c>
      <c r="G101" t="s">
        <v>2256</v>
      </c>
    </row>
    <row r="102" spans="1:7" x14ac:dyDescent="0.3">
      <c r="A102" t="s">
        <v>2359</v>
      </c>
      <c r="B102" t="s">
        <v>899</v>
      </c>
      <c r="C102" s="7">
        <v>45443</v>
      </c>
      <c r="D102" t="s">
        <v>2267</v>
      </c>
      <c r="E102">
        <v>64</v>
      </c>
      <c r="F102">
        <v>12840.37</v>
      </c>
      <c r="G102" t="s">
        <v>74</v>
      </c>
    </row>
    <row r="103" spans="1:7" x14ac:dyDescent="0.3">
      <c r="A103" t="s">
        <v>2360</v>
      </c>
      <c r="B103" t="s">
        <v>1026</v>
      </c>
      <c r="C103" s="7">
        <v>45453</v>
      </c>
      <c r="D103" t="s">
        <v>2267</v>
      </c>
      <c r="E103">
        <v>75</v>
      </c>
      <c r="F103">
        <v>16584.900000000001</v>
      </c>
      <c r="G103" t="s">
        <v>71</v>
      </c>
    </row>
    <row r="104" spans="1:7" x14ac:dyDescent="0.3">
      <c r="A104" t="s">
        <v>2361</v>
      </c>
      <c r="B104" t="s">
        <v>484</v>
      </c>
      <c r="C104" s="7">
        <v>45611</v>
      </c>
      <c r="D104" t="s">
        <v>2261</v>
      </c>
      <c r="E104">
        <v>92</v>
      </c>
      <c r="F104">
        <v>12378.13</v>
      </c>
      <c r="G104" t="s">
        <v>63</v>
      </c>
    </row>
    <row r="105" spans="1:7" x14ac:dyDescent="0.3">
      <c r="A105" t="s">
        <v>2362</v>
      </c>
      <c r="B105" t="s">
        <v>111</v>
      </c>
      <c r="C105" s="7">
        <v>45669</v>
      </c>
      <c r="D105" t="s">
        <v>2261</v>
      </c>
      <c r="E105">
        <v>12</v>
      </c>
      <c r="F105">
        <v>7140.11</v>
      </c>
      <c r="G105" t="s">
        <v>74</v>
      </c>
    </row>
    <row r="106" spans="1:7" x14ac:dyDescent="0.3">
      <c r="A106" t="s">
        <v>2363</v>
      </c>
      <c r="B106" t="s">
        <v>353</v>
      </c>
      <c r="C106" s="7">
        <v>45397</v>
      </c>
      <c r="D106" t="s">
        <v>2259</v>
      </c>
      <c r="E106">
        <v>86</v>
      </c>
      <c r="F106">
        <v>9250.74</v>
      </c>
      <c r="G106" t="s">
        <v>63</v>
      </c>
    </row>
    <row r="107" spans="1:7" x14ac:dyDescent="0.3">
      <c r="A107" t="s">
        <v>2364</v>
      </c>
      <c r="B107" t="s">
        <v>698</v>
      </c>
      <c r="C107" s="7">
        <v>45859</v>
      </c>
      <c r="D107" t="s">
        <v>2267</v>
      </c>
      <c r="E107">
        <v>15</v>
      </c>
      <c r="F107">
        <v>13160.49</v>
      </c>
      <c r="G107" t="s">
        <v>71</v>
      </c>
    </row>
    <row r="108" spans="1:7" x14ac:dyDescent="0.3">
      <c r="A108" t="s">
        <v>2365</v>
      </c>
      <c r="B108" t="s">
        <v>843</v>
      </c>
      <c r="C108" s="7">
        <v>45770</v>
      </c>
      <c r="D108" t="s">
        <v>2261</v>
      </c>
      <c r="E108">
        <v>26</v>
      </c>
      <c r="F108">
        <v>173.5</v>
      </c>
      <c r="G108" t="s">
        <v>74</v>
      </c>
    </row>
    <row r="109" spans="1:7" x14ac:dyDescent="0.3">
      <c r="A109" t="s">
        <v>2366</v>
      </c>
      <c r="B109" t="s">
        <v>184</v>
      </c>
      <c r="C109" s="7">
        <v>45741</v>
      </c>
      <c r="D109" t="s">
        <v>2261</v>
      </c>
      <c r="E109">
        <v>83</v>
      </c>
      <c r="F109">
        <v>15352.42</v>
      </c>
      <c r="G109" t="s">
        <v>74</v>
      </c>
    </row>
    <row r="110" spans="1:7" x14ac:dyDescent="0.3">
      <c r="A110" t="s">
        <v>2367</v>
      </c>
      <c r="B110" t="s">
        <v>1021</v>
      </c>
      <c r="C110" s="7">
        <v>45973</v>
      </c>
      <c r="D110" t="s">
        <v>2267</v>
      </c>
      <c r="E110">
        <v>93</v>
      </c>
      <c r="F110">
        <v>11017.86</v>
      </c>
      <c r="G110" t="s">
        <v>63</v>
      </c>
    </row>
    <row r="111" spans="1:7" x14ac:dyDescent="0.3">
      <c r="A111" t="s">
        <v>2368</v>
      </c>
      <c r="B111" t="s">
        <v>890</v>
      </c>
      <c r="C111" s="7">
        <v>46010</v>
      </c>
      <c r="D111" t="s">
        <v>2267</v>
      </c>
      <c r="E111">
        <v>119</v>
      </c>
      <c r="F111">
        <v>10375.44</v>
      </c>
      <c r="G111" t="s">
        <v>71</v>
      </c>
    </row>
    <row r="112" spans="1:7" x14ac:dyDescent="0.3">
      <c r="A112" t="s">
        <v>2369</v>
      </c>
      <c r="B112" t="s">
        <v>887</v>
      </c>
      <c r="C112" s="7">
        <v>45407</v>
      </c>
      <c r="D112" t="s">
        <v>2259</v>
      </c>
      <c r="E112">
        <v>52</v>
      </c>
      <c r="F112">
        <v>3717.69</v>
      </c>
      <c r="G112" t="s">
        <v>74</v>
      </c>
    </row>
    <row r="113" spans="1:7" x14ac:dyDescent="0.3">
      <c r="A113" t="s">
        <v>2370</v>
      </c>
      <c r="B113" t="s">
        <v>454</v>
      </c>
      <c r="C113" s="7">
        <v>45988</v>
      </c>
      <c r="D113" t="s">
        <v>2255</v>
      </c>
      <c r="E113">
        <v>60</v>
      </c>
      <c r="F113">
        <v>10863.56</v>
      </c>
      <c r="G113" t="s">
        <v>74</v>
      </c>
    </row>
    <row r="114" spans="1:7" x14ac:dyDescent="0.3">
      <c r="A114" t="s">
        <v>2371</v>
      </c>
      <c r="B114" t="s">
        <v>523</v>
      </c>
      <c r="C114" s="7">
        <v>45734</v>
      </c>
      <c r="D114" t="s">
        <v>2267</v>
      </c>
      <c r="E114">
        <v>73</v>
      </c>
      <c r="F114">
        <v>6316.94</v>
      </c>
      <c r="G114" t="s">
        <v>71</v>
      </c>
    </row>
    <row r="115" spans="1:7" x14ac:dyDescent="0.3">
      <c r="A115" t="s">
        <v>2372</v>
      </c>
      <c r="B115" t="s">
        <v>751</v>
      </c>
      <c r="C115" s="7">
        <v>45495</v>
      </c>
      <c r="D115" t="s">
        <v>2259</v>
      </c>
      <c r="E115">
        <v>93</v>
      </c>
      <c r="F115">
        <v>2973.79</v>
      </c>
      <c r="G115" t="s">
        <v>2256</v>
      </c>
    </row>
    <row r="116" spans="1:7" x14ac:dyDescent="0.3">
      <c r="A116" t="s">
        <v>2373</v>
      </c>
      <c r="B116" t="s">
        <v>67</v>
      </c>
      <c r="C116" s="7">
        <v>45995</v>
      </c>
      <c r="D116" t="s">
        <v>2259</v>
      </c>
      <c r="E116">
        <v>8</v>
      </c>
      <c r="F116">
        <v>13454.87</v>
      </c>
      <c r="G116" t="s">
        <v>63</v>
      </c>
    </row>
    <row r="117" spans="1:7" x14ac:dyDescent="0.3">
      <c r="A117" t="s">
        <v>2374</v>
      </c>
      <c r="B117" t="s">
        <v>145</v>
      </c>
      <c r="C117" s="7">
        <v>45853</v>
      </c>
      <c r="D117" t="s">
        <v>2267</v>
      </c>
      <c r="E117">
        <v>10</v>
      </c>
      <c r="F117">
        <v>12579.69</v>
      </c>
      <c r="G117" t="s">
        <v>2256</v>
      </c>
    </row>
    <row r="118" spans="1:7" x14ac:dyDescent="0.3">
      <c r="A118" t="s">
        <v>2375</v>
      </c>
      <c r="B118" t="s">
        <v>751</v>
      </c>
      <c r="C118" s="7">
        <v>45836</v>
      </c>
      <c r="D118" t="s">
        <v>2261</v>
      </c>
      <c r="E118">
        <v>76</v>
      </c>
      <c r="F118">
        <v>10544.14</v>
      </c>
      <c r="G118" t="s">
        <v>71</v>
      </c>
    </row>
    <row r="119" spans="1:7" x14ac:dyDescent="0.3">
      <c r="A119" t="s">
        <v>2376</v>
      </c>
      <c r="B119" t="s">
        <v>951</v>
      </c>
      <c r="C119" s="7">
        <v>45422</v>
      </c>
      <c r="D119" t="s">
        <v>2261</v>
      </c>
      <c r="E119">
        <v>3</v>
      </c>
      <c r="F119">
        <v>13736.43</v>
      </c>
      <c r="G119" t="s">
        <v>2256</v>
      </c>
    </row>
    <row r="120" spans="1:7" x14ac:dyDescent="0.3">
      <c r="A120" t="s">
        <v>2377</v>
      </c>
      <c r="B120" t="s">
        <v>492</v>
      </c>
      <c r="C120" s="7">
        <v>45966</v>
      </c>
      <c r="D120" t="s">
        <v>2259</v>
      </c>
      <c r="E120">
        <v>88</v>
      </c>
      <c r="F120">
        <v>2264.61</v>
      </c>
      <c r="G120" t="s">
        <v>71</v>
      </c>
    </row>
    <row r="121" spans="1:7" x14ac:dyDescent="0.3">
      <c r="A121" t="s">
        <v>2378</v>
      </c>
      <c r="B121" t="s">
        <v>0</v>
      </c>
      <c r="C121" s="7">
        <v>45653</v>
      </c>
      <c r="D121" t="s">
        <v>2255</v>
      </c>
      <c r="E121">
        <v>71</v>
      </c>
      <c r="F121">
        <v>17582.03</v>
      </c>
      <c r="G121" t="s">
        <v>71</v>
      </c>
    </row>
    <row r="122" spans="1:7" x14ac:dyDescent="0.3">
      <c r="A122" t="s">
        <v>2379</v>
      </c>
      <c r="B122" t="s">
        <v>257</v>
      </c>
      <c r="C122" s="7">
        <v>45405</v>
      </c>
      <c r="D122" t="s">
        <v>2259</v>
      </c>
      <c r="E122">
        <v>1</v>
      </c>
      <c r="F122">
        <v>18316.63</v>
      </c>
      <c r="G122" t="s">
        <v>2256</v>
      </c>
    </row>
    <row r="123" spans="1:7" x14ac:dyDescent="0.3">
      <c r="A123" t="s">
        <v>2380</v>
      </c>
      <c r="B123" t="s">
        <v>25</v>
      </c>
      <c r="C123" s="7">
        <v>45440</v>
      </c>
      <c r="D123" t="s">
        <v>2255</v>
      </c>
      <c r="E123">
        <v>59</v>
      </c>
      <c r="F123">
        <v>11764.11</v>
      </c>
      <c r="G123" t="s">
        <v>74</v>
      </c>
    </row>
    <row r="124" spans="1:7" x14ac:dyDescent="0.3">
      <c r="A124" t="s">
        <v>2381</v>
      </c>
      <c r="B124" t="s">
        <v>563</v>
      </c>
      <c r="C124" s="7">
        <v>45938</v>
      </c>
      <c r="D124" t="s">
        <v>2261</v>
      </c>
      <c r="E124">
        <v>50</v>
      </c>
      <c r="F124">
        <v>11110.26</v>
      </c>
      <c r="G124" t="s">
        <v>74</v>
      </c>
    </row>
    <row r="125" spans="1:7" x14ac:dyDescent="0.3">
      <c r="A125" t="s">
        <v>2382</v>
      </c>
      <c r="B125" t="s">
        <v>490</v>
      </c>
      <c r="C125" s="7">
        <v>45958</v>
      </c>
      <c r="D125" t="s">
        <v>2259</v>
      </c>
      <c r="E125">
        <v>85</v>
      </c>
      <c r="F125">
        <v>6145.38</v>
      </c>
      <c r="G125" t="s">
        <v>2256</v>
      </c>
    </row>
    <row r="126" spans="1:7" x14ac:dyDescent="0.3">
      <c r="A126" t="s">
        <v>2383</v>
      </c>
      <c r="B126" t="s">
        <v>937</v>
      </c>
      <c r="C126" s="7">
        <v>45728</v>
      </c>
      <c r="D126" t="s">
        <v>2255</v>
      </c>
      <c r="E126">
        <v>54</v>
      </c>
      <c r="F126">
        <v>9867.51</v>
      </c>
      <c r="G126" t="s">
        <v>2256</v>
      </c>
    </row>
    <row r="127" spans="1:7" x14ac:dyDescent="0.3">
      <c r="A127" t="s">
        <v>2384</v>
      </c>
      <c r="B127" t="s">
        <v>268</v>
      </c>
      <c r="C127" s="7">
        <v>45760</v>
      </c>
      <c r="D127" t="s">
        <v>2255</v>
      </c>
      <c r="E127">
        <v>99</v>
      </c>
      <c r="F127">
        <v>3499.09</v>
      </c>
      <c r="G127" t="s">
        <v>74</v>
      </c>
    </row>
    <row r="128" spans="1:7" x14ac:dyDescent="0.3">
      <c r="A128" t="s">
        <v>2385</v>
      </c>
      <c r="B128" t="s">
        <v>648</v>
      </c>
      <c r="C128" s="7">
        <v>45802</v>
      </c>
      <c r="D128" t="s">
        <v>2255</v>
      </c>
      <c r="E128">
        <v>88</v>
      </c>
      <c r="F128">
        <v>16898.740000000002</v>
      </c>
      <c r="G128" t="s">
        <v>63</v>
      </c>
    </row>
    <row r="129" spans="1:7" x14ac:dyDescent="0.3">
      <c r="A129" t="s">
        <v>2386</v>
      </c>
      <c r="B129" t="s">
        <v>94</v>
      </c>
      <c r="C129" s="7">
        <v>45964</v>
      </c>
      <c r="D129" t="s">
        <v>2261</v>
      </c>
      <c r="E129">
        <v>83</v>
      </c>
      <c r="F129">
        <v>1962.92</v>
      </c>
      <c r="G129" t="s">
        <v>2256</v>
      </c>
    </row>
    <row r="130" spans="1:7" x14ac:dyDescent="0.3">
      <c r="A130" t="s">
        <v>2387</v>
      </c>
      <c r="B130" t="s">
        <v>0</v>
      </c>
      <c r="C130" s="7">
        <v>45847</v>
      </c>
      <c r="D130" t="s">
        <v>2267</v>
      </c>
      <c r="E130">
        <v>91</v>
      </c>
      <c r="F130">
        <v>16461.14</v>
      </c>
      <c r="G130" t="s">
        <v>63</v>
      </c>
    </row>
    <row r="131" spans="1:7" x14ac:dyDescent="0.3">
      <c r="A131" t="s">
        <v>2388</v>
      </c>
      <c r="B131" t="s">
        <v>217</v>
      </c>
      <c r="C131" s="7">
        <v>45945</v>
      </c>
      <c r="D131" t="s">
        <v>2261</v>
      </c>
      <c r="E131">
        <v>14</v>
      </c>
      <c r="F131">
        <v>19439.990000000002</v>
      </c>
      <c r="G131" t="s">
        <v>63</v>
      </c>
    </row>
    <row r="132" spans="1:7" x14ac:dyDescent="0.3">
      <c r="A132" t="s">
        <v>2389</v>
      </c>
      <c r="B132" t="s">
        <v>287</v>
      </c>
      <c r="C132" s="7">
        <v>45480</v>
      </c>
      <c r="D132" t="s">
        <v>2255</v>
      </c>
      <c r="E132">
        <v>97</v>
      </c>
      <c r="F132">
        <v>3132.45</v>
      </c>
      <c r="G132" t="s">
        <v>74</v>
      </c>
    </row>
    <row r="133" spans="1:7" x14ac:dyDescent="0.3">
      <c r="A133" t="s">
        <v>2390</v>
      </c>
      <c r="B133" t="s">
        <v>606</v>
      </c>
      <c r="C133" s="7">
        <v>45708</v>
      </c>
      <c r="D133" t="s">
        <v>2259</v>
      </c>
      <c r="E133">
        <v>15</v>
      </c>
      <c r="F133">
        <v>6553.56</v>
      </c>
      <c r="G133" t="s">
        <v>2256</v>
      </c>
    </row>
    <row r="134" spans="1:7" x14ac:dyDescent="0.3">
      <c r="A134" t="s">
        <v>2391</v>
      </c>
      <c r="B134" t="s">
        <v>245</v>
      </c>
      <c r="C134" s="7">
        <v>45606</v>
      </c>
      <c r="D134" t="s">
        <v>2259</v>
      </c>
      <c r="E134">
        <v>113</v>
      </c>
      <c r="F134">
        <v>17466.96</v>
      </c>
      <c r="G134" t="s">
        <v>2256</v>
      </c>
    </row>
    <row r="135" spans="1:7" x14ac:dyDescent="0.3">
      <c r="A135" t="s">
        <v>2392</v>
      </c>
      <c r="B135" t="s">
        <v>901</v>
      </c>
      <c r="C135" s="7">
        <v>45464</v>
      </c>
      <c r="D135" t="s">
        <v>2261</v>
      </c>
      <c r="E135">
        <v>82</v>
      </c>
      <c r="F135">
        <v>19473.099999999999</v>
      </c>
      <c r="G135" t="s">
        <v>63</v>
      </c>
    </row>
    <row r="136" spans="1:7" x14ac:dyDescent="0.3">
      <c r="A136" t="s">
        <v>2393</v>
      </c>
      <c r="B136" t="s">
        <v>736</v>
      </c>
      <c r="C136" s="7">
        <v>45788</v>
      </c>
      <c r="D136" t="s">
        <v>2267</v>
      </c>
      <c r="E136">
        <v>53</v>
      </c>
      <c r="F136">
        <v>19528.900000000001</v>
      </c>
      <c r="G136" t="s">
        <v>63</v>
      </c>
    </row>
    <row r="137" spans="1:7" x14ac:dyDescent="0.3">
      <c r="A137" t="s">
        <v>2394</v>
      </c>
      <c r="B137" t="s">
        <v>910</v>
      </c>
      <c r="C137" s="7">
        <v>45842</v>
      </c>
      <c r="D137" t="s">
        <v>2259</v>
      </c>
      <c r="E137">
        <v>39</v>
      </c>
      <c r="F137">
        <v>16306.63</v>
      </c>
      <c r="G137" t="s">
        <v>71</v>
      </c>
    </row>
    <row r="138" spans="1:7" x14ac:dyDescent="0.3">
      <c r="A138" t="s">
        <v>2395</v>
      </c>
      <c r="B138" t="s">
        <v>922</v>
      </c>
      <c r="C138" s="7">
        <v>46014</v>
      </c>
      <c r="D138" t="s">
        <v>2267</v>
      </c>
      <c r="E138">
        <v>62</v>
      </c>
      <c r="F138">
        <v>4450.7299999999996</v>
      </c>
      <c r="G138" t="s">
        <v>2256</v>
      </c>
    </row>
    <row r="139" spans="1:7" x14ac:dyDescent="0.3">
      <c r="A139" t="s">
        <v>2396</v>
      </c>
      <c r="B139" t="s">
        <v>634</v>
      </c>
      <c r="C139" s="7">
        <v>45724</v>
      </c>
      <c r="D139" t="s">
        <v>2267</v>
      </c>
      <c r="E139">
        <v>75</v>
      </c>
      <c r="F139">
        <v>18903.580000000002</v>
      </c>
      <c r="G139" t="s">
        <v>63</v>
      </c>
    </row>
    <row r="140" spans="1:7" x14ac:dyDescent="0.3">
      <c r="A140" t="s">
        <v>2397</v>
      </c>
      <c r="B140" t="s">
        <v>247</v>
      </c>
      <c r="C140" s="7">
        <v>45704</v>
      </c>
      <c r="D140" t="s">
        <v>2255</v>
      </c>
      <c r="E140">
        <v>18</v>
      </c>
      <c r="F140">
        <v>11342.2</v>
      </c>
      <c r="G140" t="s">
        <v>71</v>
      </c>
    </row>
    <row r="141" spans="1:7" x14ac:dyDescent="0.3">
      <c r="A141" t="s">
        <v>2398</v>
      </c>
      <c r="B141" t="s">
        <v>86</v>
      </c>
      <c r="C141" s="7">
        <v>45453</v>
      </c>
      <c r="D141" t="s">
        <v>2259</v>
      </c>
      <c r="E141">
        <v>110</v>
      </c>
      <c r="F141">
        <v>19854.04</v>
      </c>
      <c r="G141" t="s">
        <v>63</v>
      </c>
    </row>
    <row r="142" spans="1:7" x14ac:dyDescent="0.3">
      <c r="A142" t="s">
        <v>2399</v>
      </c>
      <c r="B142" t="s">
        <v>867</v>
      </c>
      <c r="C142" s="7">
        <v>45518</v>
      </c>
      <c r="D142" t="s">
        <v>2267</v>
      </c>
      <c r="E142">
        <v>38</v>
      </c>
      <c r="F142">
        <v>15914.71</v>
      </c>
      <c r="G142" t="s">
        <v>2256</v>
      </c>
    </row>
    <row r="143" spans="1:7" x14ac:dyDescent="0.3">
      <c r="A143" t="s">
        <v>2400</v>
      </c>
      <c r="B143" t="s">
        <v>487</v>
      </c>
      <c r="C143" s="7">
        <v>45604</v>
      </c>
      <c r="D143" t="s">
        <v>2267</v>
      </c>
      <c r="E143">
        <v>96</v>
      </c>
      <c r="F143">
        <v>12680.57</v>
      </c>
      <c r="G143" t="s">
        <v>63</v>
      </c>
    </row>
    <row r="144" spans="1:7" x14ac:dyDescent="0.3">
      <c r="A144" t="s">
        <v>2401</v>
      </c>
      <c r="B144" t="s">
        <v>616</v>
      </c>
      <c r="C144" s="7">
        <v>45517</v>
      </c>
      <c r="D144" t="s">
        <v>2259</v>
      </c>
      <c r="E144">
        <v>35</v>
      </c>
      <c r="F144">
        <v>14840.4</v>
      </c>
      <c r="G144" t="s">
        <v>71</v>
      </c>
    </row>
    <row r="145" spans="1:7" x14ac:dyDescent="0.3">
      <c r="A145" t="s">
        <v>2402</v>
      </c>
      <c r="B145" t="s">
        <v>358</v>
      </c>
      <c r="C145" s="7">
        <v>45340</v>
      </c>
      <c r="D145" t="s">
        <v>2267</v>
      </c>
      <c r="E145">
        <v>2</v>
      </c>
      <c r="F145">
        <v>18971.259999999998</v>
      </c>
      <c r="G145" t="s">
        <v>74</v>
      </c>
    </row>
    <row r="146" spans="1:7" x14ac:dyDescent="0.3">
      <c r="A146" t="s">
        <v>2403</v>
      </c>
      <c r="B146" t="s">
        <v>439</v>
      </c>
      <c r="C146" s="7">
        <v>45653</v>
      </c>
      <c r="D146" t="s">
        <v>2259</v>
      </c>
      <c r="E146">
        <v>73</v>
      </c>
      <c r="F146">
        <v>11081.05</v>
      </c>
      <c r="G146" t="s">
        <v>63</v>
      </c>
    </row>
    <row r="147" spans="1:7" x14ac:dyDescent="0.3">
      <c r="A147" t="s">
        <v>2404</v>
      </c>
      <c r="B147" t="s">
        <v>785</v>
      </c>
      <c r="C147" s="7">
        <v>45715</v>
      </c>
      <c r="D147" t="s">
        <v>2267</v>
      </c>
      <c r="E147">
        <v>86</v>
      </c>
      <c r="F147">
        <v>9642.2999999999993</v>
      </c>
      <c r="G147" t="s">
        <v>71</v>
      </c>
    </row>
    <row r="148" spans="1:7" x14ac:dyDescent="0.3">
      <c r="A148" t="s">
        <v>2405</v>
      </c>
      <c r="B148" t="s">
        <v>22</v>
      </c>
      <c r="C148" s="7">
        <v>46014</v>
      </c>
      <c r="D148" t="s">
        <v>2261</v>
      </c>
      <c r="E148">
        <v>89</v>
      </c>
      <c r="F148">
        <v>9788.3799999999992</v>
      </c>
      <c r="G148" t="s">
        <v>2256</v>
      </c>
    </row>
    <row r="149" spans="1:7" x14ac:dyDescent="0.3">
      <c r="A149" t="s">
        <v>2406</v>
      </c>
      <c r="B149" t="s">
        <v>635</v>
      </c>
      <c r="C149" s="7">
        <v>45446</v>
      </c>
      <c r="D149" t="s">
        <v>2261</v>
      </c>
      <c r="E149">
        <v>69</v>
      </c>
      <c r="F149">
        <v>8160.86</v>
      </c>
      <c r="G149" t="s">
        <v>74</v>
      </c>
    </row>
    <row r="150" spans="1:7" x14ac:dyDescent="0.3">
      <c r="A150" t="s">
        <v>2407</v>
      </c>
      <c r="B150" t="s">
        <v>201</v>
      </c>
      <c r="C150" s="7">
        <v>45472</v>
      </c>
      <c r="D150" t="s">
        <v>2259</v>
      </c>
      <c r="E150">
        <v>110</v>
      </c>
      <c r="F150">
        <v>12724.86</v>
      </c>
      <c r="G150" t="s">
        <v>71</v>
      </c>
    </row>
    <row r="151" spans="1:7" x14ac:dyDescent="0.3">
      <c r="A151" t="s">
        <v>2408</v>
      </c>
      <c r="B151" t="s">
        <v>971</v>
      </c>
      <c r="C151" s="7">
        <v>45782</v>
      </c>
      <c r="D151" t="s">
        <v>2259</v>
      </c>
      <c r="E151">
        <v>59</v>
      </c>
      <c r="F151">
        <v>2549.9699999999998</v>
      </c>
      <c r="G151" t="s">
        <v>2256</v>
      </c>
    </row>
    <row r="152" spans="1:7" x14ac:dyDescent="0.3">
      <c r="A152" t="s">
        <v>2409</v>
      </c>
      <c r="B152" t="s">
        <v>952</v>
      </c>
      <c r="C152" s="7">
        <v>45566</v>
      </c>
      <c r="D152" t="s">
        <v>2255</v>
      </c>
      <c r="E152">
        <v>18</v>
      </c>
      <c r="F152">
        <v>19947.900000000001</v>
      </c>
      <c r="G152" t="s">
        <v>2256</v>
      </c>
    </row>
    <row r="153" spans="1:7" x14ac:dyDescent="0.3">
      <c r="A153" t="s">
        <v>2410</v>
      </c>
      <c r="B153" t="s">
        <v>614</v>
      </c>
      <c r="C153" s="7">
        <v>45450</v>
      </c>
      <c r="D153" t="s">
        <v>2261</v>
      </c>
      <c r="E153">
        <v>102</v>
      </c>
      <c r="F153">
        <v>16995.689999999999</v>
      </c>
      <c r="G153" t="s">
        <v>74</v>
      </c>
    </row>
    <row r="154" spans="1:7" x14ac:dyDescent="0.3">
      <c r="A154" t="s">
        <v>2411</v>
      </c>
      <c r="B154" t="s">
        <v>498</v>
      </c>
      <c r="C154" s="7">
        <v>45844</v>
      </c>
      <c r="D154" t="s">
        <v>2267</v>
      </c>
      <c r="E154">
        <v>79</v>
      </c>
      <c r="F154">
        <v>11808.82</v>
      </c>
      <c r="G154" t="s">
        <v>71</v>
      </c>
    </row>
    <row r="155" spans="1:7" x14ac:dyDescent="0.3">
      <c r="A155" t="s">
        <v>2412</v>
      </c>
      <c r="B155" t="s">
        <v>562</v>
      </c>
      <c r="C155" s="7">
        <v>45854</v>
      </c>
      <c r="D155" t="s">
        <v>2259</v>
      </c>
      <c r="E155">
        <v>71</v>
      </c>
      <c r="F155">
        <v>4492.07</v>
      </c>
      <c r="G155" t="s">
        <v>2256</v>
      </c>
    </row>
    <row r="156" spans="1:7" x14ac:dyDescent="0.3">
      <c r="A156" t="s">
        <v>2413</v>
      </c>
      <c r="B156" t="s">
        <v>1010</v>
      </c>
      <c r="C156" s="7">
        <v>45479</v>
      </c>
      <c r="D156" t="s">
        <v>2255</v>
      </c>
      <c r="E156">
        <v>61</v>
      </c>
      <c r="F156">
        <v>17298.46</v>
      </c>
      <c r="G156" t="s">
        <v>71</v>
      </c>
    </row>
    <row r="157" spans="1:7" x14ac:dyDescent="0.3">
      <c r="A157" t="s">
        <v>2414</v>
      </c>
      <c r="B157" t="s">
        <v>593</v>
      </c>
      <c r="C157" s="7">
        <v>45683</v>
      </c>
      <c r="D157" t="s">
        <v>2267</v>
      </c>
      <c r="E157">
        <v>105</v>
      </c>
      <c r="F157">
        <v>8131.75</v>
      </c>
      <c r="G157" t="s">
        <v>63</v>
      </c>
    </row>
    <row r="158" spans="1:7" x14ac:dyDescent="0.3">
      <c r="A158" t="s">
        <v>2415</v>
      </c>
      <c r="B158" t="s">
        <v>523</v>
      </c>
      <c r="C158" s="7">
        <v>45479</v>
      </c>
      <c r="D158" t="s">
        <v>2261</v>
      </c>
      <c r="E158">
        <v>32</v>
      </c>
      <c r="F158">
        <v>15559.59</v>
      </c>
      <c r="G158" t="s">
        <v>63</v>
      </c>
    </row>
    <row r="159" spans="1:7" x14ac:dyDescent="0.3">
      <c r="A159" t="s">
        <v>2416</v>
      </c>
      <c r="B159" t="s">
        <v>287</v>
      </c>
      <c r="C159" s="7">
        <v>45918</v>
      </c>
      <c r="D159" t="s">
        <v>2267</v>
      </c>
      <c r="E159">
        <v>56</v>
      </c>
      <c r="F159">
        <v>17645.47</v>
      </c>
      <c r="G159" t="s">
        <v>74</v>
      </c>
    </row>
    <row r="160" spans="1:7" x14ac:dyDescent="0.3">
      <c r="A160" t="s">
        <v>2417</v>
      </c>
      <c r="B160" t="s">
        <v>180</v>
      </c>
      <c r="C160" s="7">
        <v>45857</v>
      </c>
      <c r="D160" t="s">
        <v>2259</v>
      </c>
      <c r="E160">
        <v>32</v>
      </c>
      <c r="F160">
        <v>9843.36</v>
      </c>
      <c r="G160" t="s">
        <v>74</v>
      </c>
    </row>
    <row r="161" spans="1:7" x14ac:dyDescent="0.3">
      <c r="A161" t="s">
        <v>2418</v>
      </c>
      <c r="B161" t="s">
        <v>730</v>
      </c>
      <c r="C161" s="7">
        <v>45966</v>
      </c>
      <c r="D161" t="s">
        <v>2267</v>
      </c>
      <c r="E161">
        <v>95</v>
      </c>
      <c r="F161">
        <v>18101.46</v>
      </c>
      <c r="G161" t="s">
        <v>2256</v>
      </c>
    </row>
    <row r="162" spans="1:7" x14ac:dyDescent="0.3">
      <c r="A162" t="s">
        <v>2419</v>
      </c>
      <c r="B162" t="s">
        <v>5</v>
      </c>
      <c r="C162" s="7">
        <v>45971</v>
      </c>
      <c r="D162" t="s">
        <v>2261</v>
      </c>
      <c r="E162">
        <v>82</v>
      </c>
      <c r="F162">
        <v>3735.88</v>
      </c>
      <c r="G162" t="s">
        <v>2256</v>
      </c>
    </row>
    <row r="163" spans="1:7" x14ac:dyDescent="0.3">
      <c r="A163" t="s">
        <v>2420</v>
      </c>
      <c r="B163" t="s">
        <v>180</v>
      </c>
      <c r="C163" s="7">
        <v>45532</v>
      </c>
      <c r="D163" t="s">
        <v>2267</v>
      </c>
      <c r="E163">
        <v>78</v>
      </c>
      <c r="F163">
        <v>995.13</v>
      </c>
      <c r="G163" t="s">
        <v>74</v>
      </c>
    </row>
    <row r="164" spans="1:7" x14ac:dyDescent="0.3">
      <c r="A164" t="s">
        <v>2421</v>
      </c>
      <c r="B164" t="s">
        <v>1022</v>
      </c>
      <c r="C164" s="7">
        <v>45627</v>
      </c>
      <c r="D164" t="s">
        <v>2267</v>
      </c>
      <c r="E164">
        <v>44</v>
      </c>
      <c r="F164">
        <v>1364.56</v>
      </c>
      <c r="G164" t="s">
        <v>74</v>
      </c>
    </row>
    <row r="165" spans="1:7" x14ac:dyDescent="0.3">
      <c r="A165" t="s">
        <v>2422</v>
      </c>
      <c r="B165" t="s">
        <v>819</v>
      </c>
      <c r="C165" s="7">
        <v>45695</v>
      </c>
      <c r="D165" t="s">
        <v>2259</v>
      </c>
      <c r="E165">
        <v>62</v>
      </c>
      <c r="F165">
        <v>2899.57</v>
      </c>
      <c r="G165" t="s">
        <v>74</v>
      </c>
    </row>
    <row r="166" spans="1:7" x14ac:dyDescent="0.3">
      <c r="A166" t="s">
        <v>2423</v>
      </c>
      <c r="B166" t="s">
        <v>1026</v>
      </c>
      <c r="C166" s="7">
        <v>45781</v>
      </c>
      <c r="D166" t="s">
        <v>2261</v>
      </c>
      <c r="E166">
        <v>30</v>
      </c>
      <c r="F166">
        <v>1415.48</v>
      </c>
      <c r="G166" t="s">
        <v>63</v>
      </c>
    </row>
    <row r="167" spans="1:7" x14ac:dyDescent="0.3">
      <c r="A167" t="s">
        <v>2424</v>
      </c>
      <c r="B167" t="s">
        <v>500</v>
      </c>
      <c r="C167" s="7">
        <v>45753</v>
      </c>
      <c r="D167" t="s">
        <v>2255</v>
      </c>
      <c r="E167">
        <v>15</v>
      </c>
      <c r="F167">
        <v>5288.22</v>
      </c>
      <c r="G167" t="s">
        <v>2256</v>
      </c>
    </row>
    <row r="168" spans="1:7" x14ac:dyDescent="0.3">
      <c r="A168" t="s">
        <v>2425</v>
      </c>
      <c r="B168" t="s">
        <v>598</v>
      </c>
      <c r="C168" s="7">
        <v>45639</v>
      </c>
      <c r="D168" t="s">
        <v>2267</v>
      </c>
      <c r="E168">
        <v>32</v>
      </c>
      <c r="F168">
        <v>8872.16</v>
      </c>
      <c r="G168" t="s">
        <v>2256</v>
      </c>
    </row>
    <row r="169" spans="1:7" x14ac:dyDescent="0.3">
      <c r="A169" t="s">
        <v>2426</v>
      </c>
      <c r="B169" t="s">
        <v>358</v>
      </c>
      <c r="C169" s="7">
        <v>45537</v>
      </c>
      <c r="D169" t="s">
        <v>2255</v>
      </c>
      <c r="E169">
        <v>90</v>
      </c>
      <c r="F169">
        <v>10613.9</v>
      </c>
      <c r="G169" t="s">
        <v>63</v>
      </c>
    </row>
    <row r="170" spans="1:7" x14ac:dyDescent="0.3">
      <c r="A170" t="s">
        <v>2427</v>
      </c>
      <c r="B170" t="s">
        <v>391</v>
      </c>
      <c r="C170" s="7">
        <v>45395</v>
      </c>
      <c r="D170" t="s">
        <v>2259</v>
      </c>
      <c r="E170">
        <v>32</v>
      </c>
      <c r="F170">
        <v>1806.9</v>
      </c>
      <c r="G170" t="s">
        <v>74</v>
      </c>
    </row>
    <row r="171" spans="1:7" x14ac:dyDescent="0.3">
      <c r="A171" t="s">
        <v>2428</v>
      </c>
      <c r="B171" t="s">
        <v>411</v>
      </c>
      <c r="C171" s="7">
        <v>45427</v>
      </c>
      <c r="D171" t="s">
        <v>2255</v>
      </c>
      <c r="E171">
        <v>33</v>
      </c>
      <c r="F171">
        <v>4653.92</v>
      </c>
      <c r="G171" t="s">
        <v>2256</v>
      </c>
    </row>
    <row r="172" spans="1:7" x14ac:dyDescent="0.3">
      <c r="A172" t="s">
        <v>2429</v>
      </c>
      <c r="B172" t="s">
        <v>1022</v>
      </c>
      <c r="C172" s="7">
        <v>45554</v>
      </c>
      <c r="D172" t="s">
        <v>2259</v>
      </c>
      <c r="E172">
        <v>81</v>
      </c>
      <c r="F172">
        <v>10537.66</v>
      </c>
      <c r="G172" t="s">
        <v>2256</v>
      </c>
    </row>
    <row r="173" spans="1:7" x14ac:dyDescent="0.3">
      <c r="A173" t="s">
        <v>2430</v>
      </c>
      <c r="B173" t="s">
        <v>241</v>
      </c>
      <c r="C173" s="7">
        <v>45827</v>
      </c>
      <c r="D173" t="s">
        <v>2255</v>
      </c>
      <c r="E173">
        <v>53</v>
      </c>
      <c r="F173">
        <v>12882.06</v>
      </c>
      <c r="G173" t="s">
        <v>71</v>
      </c>
    </row>
    <row r="174" spans="1:7" x14ac:dyDescent="0.3">
      <c r="A174" t="s">
        <v>2431</v>
      </c>
      <c r="B174" t="s">
        <v>967</v>
      </c>
      <c r="C174" s="7">
        <v>45573</v>
      </c>
      <c r="D174" t="s">
        <v>2259</v>
      </c>
      <c r="E174">
        <v>112</v>
      </c>
      <c r="F174">
        <v>6771.29</v>
      </c>
      <c r="G174" t="s">
        <v>63</v>
      </c>
    </row>
    <row r="175" spans="1:7" x14ac:dyDescent="0.3">
      <c r="A175" t="s">
        <v>2432</v>
      </c>
      <c r="B175" t="s">
        <v>340</v>
      </c>
      <c r="C175" s="7">
        <v>45748</v>
      </c>
      <c r="D175" t="s">
        <v>2261</v>
      </c>
      <c r="E175">
        <v>37</v>
      </c>
      <c r="F175">
        <v>14843.92</v>
      </c>
      <c r="G175" t="s">
        <v>71</v>
      </c>
    </row>
    <row r="176" spans="1:7" x14ac:dyDescent="0.3">
      <c r="A176" t="s">
        <v>2433</v>
      </c>
      <c r="B176" t="s">
        <v>598</v>
      </c>
      <c r="C176" s="7">
        <v>45765</v>
      </c>
      <c r="D176" t="s">
        <v>2259</v>
      </c>
      <c r="E176">
        <v>62</v>
      </c>
      <c r="F176">
        <v>829.7</v>
      </c>
      <c r="G176" t="s">
        <v>63</v>
      </c>
    </row>
    <row r="177" spans="1:7" x14ac:dyDescent="0.3">
      <c r="A177" t="s">
        <v>2434</v>
      </c>
      <c r="B177" t="s">
        <v>358</v>
      </c>
      <c r="C177" s="7">
        <v>45920</v>
      </c>
      <c r="D177" t="s">
        <v>2261</v>
      </c>
      <c r="E177">
        <v>17</v>
      </c>
      <c r="F177">
        <v>2800.1</v>
      </c>
      <c r="G177" t="s">
        <v>74</v>
      </c>
    </row>
    <row r="178" spans="1:7" x14ac:dyDescent="0.3">
      <c r="A178" t="s">
        <v>2435</v>
      </c>
      <c r="B178" t="s">
        <v>823</v>
      </c>
      <c r="C178" s="7">
        <v>45620</v>
      </c>
      <c r="D178" t="s">
        <v>2261</v>
      </c>
      <c r="E178">
        <v>112</v>
      </c>
      <c r="F178">
        <v>19548.57</v>
      </c>
      <c r="G178" t="s">
        <v>74</v>
      </c>
    </row>
    <row r="179" spans="1:7" x14ac:dyDescent="0.3">
      <c r="A179" t="s">
        <v>2436</v>
      </c>
      <c r="B179" t="s">
        <v>967</v>
      </c>
      <c r="C179" s="7">
        <v>45650</v>
      </c>
      <c r="D179" t="s">
        <v>2267</v>
      </c>
      <c r="E179">
        <v>49</v>
      </c>
      <c r="F179">
        <v>2882.78</v>
      </c>
      <c r="G179" t="s">
        <v>71</v>
      </c>
    </row>
    <row r="180" spans="1:7" x14ac:dyDescent="0.3">
      <c r="A180" t="s">
        <v>2437</v>
      </c>
      <c r="B180" t="s">
        <v>429</v>
      </c>
      <c r="C180" s="7">
        <v>45759</v>
      </c>
      <c r="D180" t="s">
        <v>2261</v>
      </c>
      <c r="E180">
        <v>74</v>
      </c>
      <c r="F180">
        <v>2110.4699999999998</v>
      </c>
      <c r="G180" t="s">
        <v>74</v>
      </c>
    </row>
    <row r="181" spans="1:7" x14ac:dyDescent="0.3">
      <c r="A181" t="s">
        <v>2438</v>
      </c>
      <c r="B181" t="s">
        <v>931</v>
      </c>
      <c r="C181" s="7">
        <v>45978</v>
      </c>
      <c r="D181" t="s">
        <v>2259</v>
      </c>
      <c r="E181">
        <v>15</v>
      </c>
      <c r="F181">
        <v>15952.48</v>
      </c>
      <c r="G181" t="s">
        <v>74</v>
      </c>
    </row>
    <row r="182" spans="1:7" x14ac:dyDescent="0.3">
      <c r="A182" t="s">
        <v>2439</v>
      </c>
      <c r="B182" t="s">
        <v>103</v>
      </c>
      <c r="C182" s="7">
        <v>45906</v>
      </c>
      <c r="D182" t="s">
        <v>2267</v>
      </c>
      <c r="E182">
        <v>107</v>
      </c>
      <c r="F182">
        <v>17212.38</v>
      </c>
      <c r="G182" t="s">
        <v>63</v>
      </c>
    </row>
    <row r="183" spans="1:7" x14ac:dyDescent="0.3">
      <c r="A183" t="s">
        <v>2440</v>
      </c>
      <c r="B183" t="s">
        <v>1007</v>
      </c>
      <c r="C183" s="7">
        <v>45669</v>
      </c>
      <c r="D183" t="s">
        <v>2261</v>
      </c>
      <c r="E183">
        <v>65</v>
      </c>
      <c r="F183">
        <v>8054.58</v>
      </c>
      <c r="G183" t="s">
        <v>63</v>
      </c>
    </row>
    <row r="184" spans="1:7" x14ac:dyDescent="0.3">
      <c r="A184" t="s">
        <v>2441</v>
      </c>
      <c r="B184" t="s">
        <v>4</v>
      </c>
      <c r="C184" s="7">
        <v>45523</v>
      </c>
      <c r="D184" t="s">
        <v>2261</v>
      </c>
      <c r="E184">
        <v>34</v>
      </c>
      <c r="F184">
        <v>11714.63</v>
      </c>
      <c r="G184" t="s">
        <v>2256</v>
      </c>
    </row>
    <row r="185" spans="1:7" x14ac:dyDescent="0.3">
      <c r="A185" t="s">
        <v>2442</v>
      </c>
      <c r="B185" t="s">
        <v>1021</v>
      </c>
      <c r="C185" s="7">
        <v>45569</v>
      </c>
      <c r="D185" t="s">
        <v>2255</v>
      </c>
      <c r="E185">
        <v>94</v>
      </c>
      <c r="F185">
        <v>16223.77</v>
      </c>
      <c r="G185" t="s">
        <v>63</v>
      </c>
    </row>
    <row r="186" spans="1:7" x14ac:dyDescent="0.3">
      <c r="A186" t="s">
        <v>2443</v>
      </c>
      <c r="B186" t="s">
        <v>638</v>
      </c>
      <c r="C186" s="7">
        <v>45962</v>
      </c>
      <c r="D186" t="s">
        <v>2259</v>
      </c>
      <c r="E186">
        <v>81</v>
      </c>
      <c r="F186">
        <v>18107.72</v>
      </c>
      <c r="G186" t="s">
        <v>74</v>
      </c>
    </row>
    <row r="187" spans="1:7" x14ac:dyDescent="0.3">
      <c r="A187" t="s">
        <v>2444</v>
      </c>
      <c r="B187" t="s">
        <v>736</v>
      </c>
      <c r="C187" s="7">
        <v>45594</v>
      </c>
      <c r="D187" t="s">
        <v>2267</v>
      </c>
      <c r="E187">
        <v>89</v>
      </c>
      <c r="F187">
        <v>3633.52</v>
      </c>
      <c r="G187" t="s">
        <v>2256</v>
      </c>
    </row>
    <row r="188" spans="1:7" x14ac:dyDescent="0.3">
      <c r="A188" t="s">
        <v>2445</v>
      </c>
      <c r="B188" t="s">
        <v>176</v>
      </c>
      <c r="C188" s="7">
        <v>45810</v>
      </c>
      <c r="D188" t="s">
        <v>2255</v>
      </c>
      <c r="E188">
        <v>35</v>
      </c>
      <c r="F188">
        <v>9809.7099999999991</v>
      </c>
      <c r="G188" t="s">
        <v>2256</v>
      </c>
    </row>
    <row r="189" spans="1:7" x14ac:dyDescent="0.3">
      <c r="A189" t="s">
        <v>2446</v>
      </c>
      <c r="B189" t="s">
        <v>447</v>
      </c>
      <c r="C189" s="7">
        <v>45721</v>
      </c>
      <c r="D189" t="s">
        <v>2255</v>
      </c>
      <c r="E189">
        <v>80</v>
      </c>
      <c r="F189">
        <v>18330.84</v>
      </c>
      <c r="G189" t="s">
        <v>2256</v>
      </c>
    </row>
    <row r="190" spans="1:7" x14ac:dyDescent="0.3">
      <c r="A190" t="s">
        <v>2447</v>
      </c>
      <c r="B190" t="s">
        <v>869</v>
      </c>
      <c r="C190" s="7">
        <v>45815</v>
      </c>
      <c r="D190" t="s">
        <v>2267</v>
      </c>
      <c r="E190">
        <v>29</v>
      </c>
      <c r="F190">
        <v>5059.3500000000004</v>
      </c>
      <c r="G190" t="s">
        <v>63</v>
      </c>
    </row>
    <row r="191" spans="1:7" x14ac:dyDescent="0.3">
      <c r="A191" t="s">
        <v>2448</v>
      </c>
      <c r="B191" t="s">
        <v>1028</v>
      </c>
      <c r="C191" s="7">
        <v>45704</v>
      </c>
      <c r="D191" t="s">
        <v>2259</v>
      </c>
      <c r="E191">
        <v>56</v>
      </c>
      <c r="F191">
        <v>14421.62</v>
      </c>
      <c r="G191" t="s">
        <v>74</v>
      </c>
    </row>
    <row r="192" spans="1:7" x14ac:dyDescent="0.3">
      <c r="A192" t="s">
        <v>2449</v>
      </c>
      <c r="B192" t="s">
        <v>560</v>
      </c>
      <c r="C192" s="7">
        <v>45994</v>
      </c>
      <c r="D192" t="s">
        <v>2259</v>
      </c>
      <c r="E192">
        <v>17</v>
      </c>
      <c r="F192">
        <v>15261.6</v>
      </c>
      <c r="G192" t="s">
        <v>63</v>
      </c>
    </row>
    <row r="193" spans="1:7" x14ac:dyDescent="0.3">
      <c r="A193" t="s">
        <v>2450</v>
      </c>
      <c r="B193" t="s">
        <v>294</v>
      </c>
      <c r="C193" s="7">
        <v>45568</v>
      </c>
      <c r="D193" t="s">
        <v>2259</v>
      </c>
      <c r="E193">
        <v>64</v>
      </c>
      <c r="F193">
        <v>18483.2</v>
      </c>
      <c r="G193" t="s">
        <v>74</v>
      </c>
    </row>
    <row r="194" spans="1:7" x14ac:dyDescent="0.3">
      <c r="A194" t="s">
        <v>2451</v>
      </c>
      <c r="B194" t="s">
        <v>412</v>
      </c>
      <c r="C194" s="7">
        <v>45819</v>
      </c>
      <c r="D194" t="s">
        <v>2255</v>
      </c>
      <c r="E194">
        <v>21</v>
      </c>
      <c r="F194">
        <v>12854.98</v>
      </c>
      <c r="G194" t="s">
        <v>2256</v>
      </c>
    </row>
    <row r="195" spans="1:7" x14ac:dyDescent="0.3">
      <c r="A195" t="s">
        <v>2452</v>
      </c>
      <c r="B195" t="s">
        <v>1033</v>
      </c>
      <c r="C195" s="7">
        <v>45886</v>
      </c>
      <c r="D195" t="s">
        <v>2261</v>
      </c>
      <c r="E195">
        <v>38</v>
      </c>
      <c r="F195">
        <v>11353.58</v>
      </c>
      <c r="G195" t="s">
        <v>74</v>
      </c>
    </row>
    <row r="196" spans="1:7" x14ac:dyDescent="0.3">
      <c r="A196" t="s">
        <v>2453</v>
      </c>
      <c r="B196" t="s">
        <v>189</v>
      </c>
      <c r="C196" s="7">
        <v>45729</v>
      </c>
      <c r="D196" t="s">
        <v>2261</v>
      </c>
      <c r="E196">
        <v>89</v>
      </c>
      <c r="F196">
        <v>9291.9</v>
      </c>
      <c r="G196" t="s">
        <v>71</v>
      </c>
    </row>
    <row r="197" spans="1:7" x14ac:dyDescent="0.3">
      <c r="A197" t="s">
        <v>2454</v>
      </c>
      <c r="B197" t="s">
        <v>114</v>
      </c>
      <c r="C197" s="7">
        <v>45520</v>
      </c>
      <c r="D197" t="s">
        <v>2259</v>
      </c>
      <c r="E197">
        <v>17</v>
      </c>
      <c r="F197">
        <v>7652.84</v>
      </c>
      <c r="G197" t="s">
        <v>2256</v>
      </c>
    </row>
    <row r="198" spans="1:7" x14ac:dyDescent="0.3">
      <c r="A198" t="s">
        <v>2455</v>
      </c>
      <c r="B198" t="s">
        <v>792</v>
      </c>
      <c r="C198" s="7">
        <v>45575</v>
      </c>
      <c r="D198" t="s">
        <v>2259</v>
      </c>
      <c r="E198">
        <v>105</v>
      </c>
      <c r="F198">
        <v>9691.27</v>
      </c>
      <c r="G198" t="s">
        <v>71</v>
      </c>
    </row>
    <row r="199" spans="1:7" x14ac:dyDescent="0.3">
      <c r="A199" t="s">
        <v>2456</v>
      </c>
      <c r="B199" t="s">
        <v>647</v>
      </c>
      <c r="C199" s="7">
        <v>45645</v>
      </c>
      <c r="D199" t="s">
        <v>2261</v>
      </c>
      <c r="E199">
        <v>16</v>
      </c>
      <c r="F199">
        <v>2723.12</v>
      </c>
      <c r="G199" t="s">
        <v>71</v>
      </c>
    </row>
    <row r="200" spans="1:7" x14ac:dyDescent="0.3">
      <c r="A200" t="s">
        <v>2457</v>
      </c>
      <c r="B200" t="s">
        <v>707</v>
      </c>
      <c r="C200" s="7">
        <v>45700</v>
      </c>
      <c r="D200" t="s">
        <v>2267</v>
      </c>
      <c r="E200">
        <v>101</v>
      </c>
      <c r="F200">
        <v>15487.89</v>
      </c>
      <c r="G200" t="s">
        <v>2256</v>
      </c>
    </row>
    <row r="201" spans="1:7" x14ac:dyDescent="0.3">
      <c r="A201" t="s">
        <v>2458</v>
      </c>
      <c r="B201" t="s">
        <v>967</v>
      </c>
      <c r="C201" s="7">
        <v>45748</v>
      </c>
      <c r="D201" t="s">
        <v>2261</v>
      </c>
      <c r="E201">
        <v>96</v>
      </c>
      <c r="F201">
        <v>11605.24</v>
      </c>
      <c r="G201" t="s">
        <v>74</v>
      </c>
    </row>
    <row r="202" spans="1:7" x14ac:dyDescent="0.3">
      <c r="A202" t="s">
        <v>2459</v>
      </c>
      <c r="B202" t="s">
        <v>115</v>
      </c>
      <c r="C202" s="7">
        <v>45988</v>
      </c>
      <c r="D202" t="s">
        <v>2259</v>
      </c>
      <c r="E202">
        <v>27</v>
      </c>
      <c r="F202">
        <v>18351.509999999998</v>
      </c>
      <c r="G202" t="s">
        <v>74</v>
      </c>
    </row>
    <row r="203" spans="1:7" x14ac:dyDescent="0.3">
      <c r="A203" t="s">
        <v>2460</v>
      </c>
      <c r="B203" t="s">
        <v>26</v>
      </c>
      <c r="C203" s="7">
        <v>45479</v>
      </c>
      <c r="D203" t="s">
        <v>2267</v>
      </c>
      <c r="E203">
        <v>2</v>
      </c>
      <c r="F203">
        <v>4383.1099999999997</v>
      </c>
      <c r="G203" t="s">
        <v>63</v>
      </c>
    </row>
    <row r="204" spans="1:7" x14ac:dyDescent="0.3">
      <c r="A204" t="s">
        <v>2461</v>
      </c>
      <c r="B204" t="s">
        <v>508</v>
      </c>
      <c r="C204" s="7">
        <v>45670</v>
      </c>
      <c r="D204" t="s">
        <v>2259</v>
      </c>
      <c r="E204">
        <v>58</v>
      </c>
      <c r="F204">
        <v>19792.53</v>
      </c>
      <c r="G204" t="s">
        <v>71</v>
      </c>
    </row>
    <row r="205" spans="1:7" x14ac:dyDescent="0.3">
      <c r="A205" t="s">
        <v>2462</v>
      </c>
      <c r="B205" t="s">
        <v>951</v>
      </c>
      <c r="C205" s="7">
        <v>45843</v>
      </c>
      <c r="D205" t="s">
        <v>2261</v>
      </c>
      <c r="E205">
        <v>43</v>
      </c>
      <c r="F205">
        <v>4491.41</v>
      </c>
      <c r="G205" t="s">
        <v>71</v>
      </c>
    </row>
    <row r="206" spans="1:7" x14ac:dyDescent="0.3">
      <c r="A206" t="s">
        <v>2463</v>
      </c>
      <c r="B206" t="s">
        <v>408</v>
      </c>
      <c r="C206" s="7">
        <v>45445</v>
      </c>
      <c r="D206" t="s">
        <v>2261</v>
      </c>
      <c r="E206">
        <v>45</v>
      </c>
      <c r="F206">
        <v>15726.82</v>
      </c>
      <c r="G206" t="s">
        <v>71</v>
      </c>
    </row>
    <row r="207" spans="1:7" x14ac:dyDescent="0.3">
      <c r="A207" t="s">
        <v>2464</v>
      </c>
      <c r="B207" t="s">
        <v>417</v>
      </c>
      <c r="C207" s="7">
        <v>45750</v>
      </c>
      <c r="D207" t="s">
        <v>2267</v>
      </c>
      <c r="E207">
        <v>94</v>
      </c>
      <c r="F207">
        <v>11743.51</v>
      </c>
      <c r="G207" t="s">
        <v>71</v>
      </c>
    </row>
    <row r="208" spans="1:7" x14ac:dyDescent="0.3">
      <c r="A208" t="s">
        <v>2465</v>
      </c>
      <c r="B208" t="s">
        <v>138</v>
      </c>
      <c r="C208" s="7">
        <v>45668</v>
      </c>
      <c r="D208" t="s">
        <v>2267</v>
      </c>
      <c r="E208">
        <v>28</v>
      </c>
      <c r="F208">
        <v>9577.14</v>
      </c>
      <c r="G208" t="s">
        <v>2256</v>
      </c>
    </row>
    <row r="209" spans="1:7" x14ac:dyDescent="0.3">
      <c r="A209" t="s">
        <v>2466</v>
      </c>
      <c r="B209" t="s">
        <v>563</v>
      </c>
      <c r="C209" s="7">
        <v>45832</v>
      </c>
      <c r="D209" t="s">
        <v>2267</v>
      </c>
      <c r="E209">
        <v>69</v>
      </c>
      <c r="F209">
        <v>15911.86</v>
      </c>
      <c r="G209" t="s">
        <v>63</v>
      </c>
    </row>
    <row r="210" spans="1:7" x14ac:dyDescent="0.3">
      <c r="A210" t="s">
        <v>2467</v>
      </c>
      <c r="B210" t="s">
        <v>285</v>
      </c>
      <c r="C210" s="7">
        <v>45745</v>
      </c>
      <c r="D210" t="s">
        <v>2255</v>
      </c>
      <c r="E210">
        <v>10</v>
      </c>
      <c r="F210">
        <v>19880.11</v>
      </c>
      <c r="G210" t="s">
        <v>71</v>
      </c>
    </row>
    <row r="211" spans="1:7" x14ac:dyDescent="0.3">
      <c r="A211" t="s">
        <v>2468</v>
      </c>
      <c r="B211" t="s">
        <v>341</v>
      </c>
      <c r="C211" s="7">
        <v>45763</v>
      </c>
      <c r="D211" t="s">
        <v>2255</v>
      </c>
      <c r="E211">
        <v>99</v>
      </c>
      <c r="F211">
        <v>595.80999999999995</v>
      </c>
      <c r="G211" t="s">
        <v>63</v>
      </c>
    </row>
    <row r="212" spans="1:7" x14ac:dyDescent="0.3">
      <c r="A212" t="s">
        <v>2469</v>
      </c>
      <c r="B212" t="s">
        <v>813</v>
      </c>
      <c r="C212" s="7">
        <v>45838</v>
      </c>
      <c r="D212" t="s">
        <v>2259</v>
      </c>
      <c r="E212">
        <v>110</v>
      </c>
      <c r="F212">
        <v>8398.18</v>
      </c>
      <c r="G212" t="s">
        <v>71</v>
      </c>
    </row>
    <row r="213" spans="1:7" x14ac:dyDescent="0.3">
      <c r="A213" t="s">
        <v>2470</v>
      </c>
      <c r="B213" t="s">
        <v>176</v>
      </c>
      <c r="C213" s="7">
        <v>45611</v>
      </c>
      <c r="D213" t="s">
        <v>2255</v>
      </c>
      <c r="E213">
        <v>32</v>
      </c>
      <c r="F213">
        <v>5910.36</v>
      </c>
      <c r="G213" t="s">
        <v>71</v>
      </c>
    </row>
    <row r="214" spans="1:7" x14ac:dyDescent="0.3">
      <c r="A214" t="s">
        <v>2471</v>
      </c>
      <c r="B214" t="s">
        <v>570</v>
      </c>
      <c r="C214" s="7">
        <v>45766</v>
      </c>
      <c r="D214" t="s">
        <v>2267</v>
      </c>
      <c r="E214">
        <v>71</v>
      </c>
      <c r="F214">
        <v>5296.55</v>
      </c>
      <c r="G214" t="s">
        <v>74</v>
      </c>
    </row>
    <row r="215" spans="1:7" x14ac:dyDescent="0.3">
      <c r="A215" t="s">
        <v>2472</v>
      </c>
      <c r="B215" t="s">
        <v>475</v>
      </c>
      <c r="C215" s="7">
        <v>45595</v>
      </c>
      <c r="D215" t="s">
        <v>2255</v>
      </c>
      <c r="E215">
        <v>55</v>
      </c>
      <c r="F215">
        <v>1321.53</v>
      </c>
      <c r="G215" t="s">
        <v>2256</v>
      </c>
    </row>
    <row r="216" spans="1:7" x14ac:dyDescent="0.3">
      <c r="A216" t="s">
        <v>2473</v>
      </c>
      <c r="B216" t="s">
        <v>475</v>
      </c>
      <c r="C216" s="7">
        <v>45825</v>
      </c>
      <c r="D216" t="s">
        <v>2255</v>
      </c>
      <c r="E216">
        <v>110</v>
      </c>
      <c r="F216">
        <v>14067.61</v>
      </c>
      <c r="G216" t="s">
        <v>71</v>
      </c>
    </row>
    <row r="217" spans="1:7" x14ac:dyDescent="0.3">
      <c r="A217" t="s">
        <v>2474</v>
      </c>
      <c r="B217" t="s">
        <v>911</v>
      </c>
      <c r="C217" s="7">
        <v>45467</v>
      </c>
      <c r="D217" t="s">
        <v>2255</v>
      </c>
      <c r="E217">
        <v>75</v>
      </c>
      <c r="F217">
        <v>13668.72</v>
      </c>
      <c r="G217" t="s">
        <v>71</v>
      </c>
    </row>
    <row r="218" spans="1:7" x14ac:dyDescent="0.3">
      <c r="A218" t="s">
        <v>2475</v>
      </c>
      <c r="B218" t="s">
        <v>598</v>
      </c>
      <c r="C218" s="7">
        <v>45461</v>
      </c>
      <c r="D218" t="s">
        <v>2259</v>
      </c>
      <c r="E218">
        <v>109</v>
      </c>
      <c r="F218">
        <v>12676.82</v>
      </c>
      <c r="G218" t="s">
        <v>63</v>
      </c>
    </row>
    <row r="219" spans="1:7" x14ac:dyDescent="0.3">
      <c r="A219" t="s">
        <v>2476</v>
      </c>
      <c r="B219" t="s">
        <v>963</v>
      </c>
      <c r="C219" s="7">
        <v>45603</v>
      </c>
      <c r="D219" t="s">
        <v>2261</v>
      </c>
      <c r="E219">
        <v>56</v>
      </c>
      <c r="F219">
        <v>9581.09</v>
      </c>
      <c r="G219" t="s">
        <v>63</v>
      </c>
    </row>
    <row r="220" spans="1:7" x14ac:dyDescent="0.3">
      <c r="A220" t="s">
        <v>2477</v>
      </c>
      <c r="B220" t="s">
        <v>899</v>
      </c>
      <c r="C220" s="7">
        <v>45921</v>
      </c>
      <c r="D220" t="s">
        <v>2261</v>
      </c>
      <c r="E220">
        <v>78</v>
      </c>
      <c r="F220">
        <v>1527.78</v>
      </c>
      <c r="G220" t="s">
        <v>71</v>
      </c>
    </row>
    <row r="221" spans="1:7" x14ac:dyDescent="0.3">
      <c r="A221" t="s">
        <v>2478</v>
      </c>
      <c r="B221" t="s">
        <v>365</v>
      </c>
      <c r="C221" s="7">
        <v>45920</v>
      </c>
      <c r="D221" t="s">
        <v>2255</v>
      </c>
      <c r="E221">
        <v>85</v>
      </c>
      <c r="F221">
        <v>19718.88</v>
      </c>
      <c r="G221" t="s">
        <v>71</v>
      </c>
    </row>
    <row r="222" spans="1:7" x14ac:dyDescent="0.3">
      <c r="A222" t="s">
        <v>2479</v>
      </c>
      <c r="B222" t="s">
        <v>273</v>
      </c>
      <c r="C222" s="7">
        <v>45673</v>
      </c>
      <c r="D222" t="s">
        <v>2261</v>
      </c>
      <c r="E222">
        <v>16</v>
      </c>
      <c r="F222">
        <v>7032.19</v>
      </c>
      <c r="G222" t="s">
        <v>71</v>
      </c>
    </row>
    <row r="223" spans="1:7" x14ac:dyDescent="0.3">
      <c r="A223" t="s">
        <v>2480</v>
      </c>
      <c r="B223" t="s">
        <v>507</v>
      </c>
      <c r="C223" s="7">
        <v>45718</v>
      </c>
      <c r="D223" t="s">
        <v>2267</v>
      </c>
      <c r="E223">
        <v>28</v>
      </c>
      <c r="F223">
        <v>6696.78</v>
      </c>
      <c r="G223" t="s">
        <v>2256</v>
      </c>
    </row>
    <row r="224" spans="1:7" x14ac:dyDescent="0.3">
      <c r="A224" t="s">
        <v>2481</v>
      </c>
      <c r="B224" t="s">
        <v>1031</v>
      </c>
      <c r="C224" s="7">
        <v>45779</v>
      </c>
      <c r="D224" t="s">
        <v>2261</v>
      </c>
      <c r="E224">
        <v>97</v>
      </c>
      <c r="F224">
        <v>13154.16</v>
      </c>
      <c r="G224" t="s">
        <v>63</v>
      </c>
    </row>
    <row r="225" spans="1:7" x14ac:dyDescent="0.3">
      <c r="A225" t="s">
        <v>2482</v>
      </c>
      <c r="B225" t="s">
        <v>507</v>
      </c>
      <c r="C225" s="7">
        <v>45944</v>
      </c>
      <c r="D225" t="s">
        <v>2267</v>
      </c>
      <c r="E225">
        <v>37</v>
      </c>
      <c r="F225">
        <v>9782.52</v>
      </c>
      <c r="G225" t="s">
        <v>71</v>
      </c>
    </row>
    <row r="226" spans="1:7" x14ac:dyDescent="0.3">
      <c r="A226" t="s">
        <v>2483</v>
      </c>
      <c r="B226" t="s">
        <v>535</v>
      </c>
      <c r="C226" s="7">
        <v>45782</v>
      </c>
      <c r="D226" t="s">
        <v>2261</v>
      </c>
      <c r="E226">
        <v>8</v>
      </c>
      <c r="F226">
        <v>709.45</v>
      </c>
      <c r="G226" t="s">
        <v>71</v>
      </c>
    </row>
    <row r="227" spans="1:7" x14ac:dyDescent="0.3">
      <c r="A227" t="s">
        <v>2484</v>
      </c>
      <c r="B227" t="s">
        <v>22</v>
      </c>
      <c r="C227" s="7">
        <v>45967</v>
      </c>
      <c r="D227" t="s">
        <v>2259</v>
      </c>
      <c r="E227">
        <v>58</v>
      </c>
      <c r="F227">
        <v>7022.58</v>
      </c>
      <c r="G227" t="s">
        <v>2256</v>
      </c>
    </row>
    <row r="228" spans="1:7" x14ac:dyDescent="0.3">
      <c r="A228" t="s">
        <v>2485</v>
      </c>
      <c r="B228" t="s">
        <v>124</v>
      </c>
      <c r="C228" s="7">
        <v>45971</v>
      </c>
      <c r="D228" t="s">
        <v>2267</v>
      </c>
      <c r="E228">
        <v>114</v>
      </c>
      <c r="F228">
        <v>2998.33</v>
      </c>
      <c r="G228" t="s">
        <v>74</v>
      </c>
    </row>
    <row r="229" spans="1:7" x14ac:dyDescent="0.3">
      <c r="A229" t="s">
        <v>2486</v>
      </c>
      <c r="B229" t="s">
        <v>962</v>
      </c>
      <c r="C229" s="7">
        <v>45708</v>
      </c>
      <c r="D229" t="s">
        <v>2259</v>
      </c>
      <c r="E229">
        <v>20</v>
      </c>
      <c r="F229">
        <v>7855.35</v>
      </c>
      <c r="G229" t="s">
        <v>74</v>
      </c>
    </row>
    <row r="230" spans="1:7" x14ac:dyDescent="0.3">
      <c r="A230" t="s">
        <v>2487</v>
      </c>
      <c r="B230" t="s">
        <v>393</v>
      </c>
      <c r="C230" s="7">
        <v>45511</v>
      </c>
      <c r="D230" t="s">
        <v>2267</v>
      </c>
      <c r="E230">
        <v>49</v>
      </c>
      <c r="F230">
        <v>17491.900000000001</v>
      </c>
      <c r="G230" t="s">
        <v>2256</v>
      </c>
    </row>
    <row r="231" spans="1:7" x14ac:dyDescent="0.3">
      <c r="A231" t="s">
        <v>2488</v>
      </c>
      <c r="B231" t="s">
        <v>164</v>
      </c>
      <c r="C231" s="7">
        <v>45682</v>
      </c>
      <c r="D231" t="s">
        <v>2267</v>
      </c>
      <c r="E231">
        <v>110</v>
      </c>
      <c r="F231">
        <v>19978.810000000001</v>
      </c>
      <c r="G231" t="s">
        <v>63</v>
      </c>
    </row>
    <row r="232" spans="1:7" x14ac:dyDescent="0.3">
      <c r="A232" t="s">
        <v>2489</v>
      </c>
      <c r="B232" t="s">
        <v>209</v>
      </c>
      <c r="C232" s="7">
        <v>45770</v>
      </c>
      <c r="D232" t="s">
        <v>2259</v>
      </c>
      <c r="E232">
        <v>111</v>
      </c>
      <c r="F232">
        <v>3682.65</v>
      </c>
      <c r="G232" t="s">
        <v>71</v>
      </c>
    </row>
    <row r="233" spans="1:7" x14ac:dyDescent="0.3">
      <c r="A233" t="s">
        <v>2490</v>
      </c>
      <c r="B233" t="s">
        <v>843</v>
      </c>
      <c r="C233" s="7">
        <v>45634</v>
      </c>
      <c r="D233" t="s">
        <v>2255</v>
      </c>
      <c r="E233">
        <v>1</v>
      </c>
      <c r="F233">
        <v>19371.45</v>
      </c>
      <c r="G233" t="s">
        <v>2256</v>
      </c>
    </row>
    <row r="234" spans="1:7" x14ac:dyDescent="0.3">
      <c r="A234" t="s">
        <v>2491</v>
      </c>
      <c r="B234" t="s">
        <v>430</v>
      </c>
      <c r="C234" s="7">
        <v>45615</v>
      </c>
      <c r="D234" t="s">
        <v>2267</v>
      </c>
      <c r="E234">
        <v>103</v>
      </c>
      <c r="F234">
        <v>15217.96</v>
      </c>
      <c r="G234" t="s">
        <v>2256</v>
      </c>
    </row>
    <row r="235" spans="1:7" x14ac:dyDescent="0.3">
      <c r="A235" t="s">
        <v>2492</v>
      </c>
      <c r="B235" t="s">
        <v>963</v>
      </c>
      <c r="C235" s="7">
        <v>45547</v>
      </c>
      <c r="D235" t="s">
        <v>2259</v>
      </c>
      <c r="E235">
        <v>53</v>
      </c>
      <c r="F235">
        <v>3453.16</v>
      </c>
      <c r="G235" t="s">
        <v>71</v>
      </c>
    </row>
    <row r="236" spans="1:7" x14ac:dyDescent="0.3">
      <c r="A236" t="s">
        <v>2493</v>
      </c>
      <c r="B236" t="s">
        <v>322</v>
      </c>
      <c r="C236" s="7">
        <v>45527</v>
      </c>
      <c r="D236" t="s">
        <v>2267</v>
      </c>
      <c r="E236">
        <v>2</v>
      </c>
      <c r="F236">
        <v>10767.4</v>
      </c>
      <c r="G236" t="s">
        <v>2256</v>
      </c>
    </row>
    <row r="237" spans="1:7" x14ac:dyDescent="0.3">
      <c r="A237" t="s">
        <v>2494</v>
      </c>
      <c r="B237" t="s">
        <v>593</v>
      </c>
      <c r="C237" s="7">
        <v>45565</v>
      </c>
      <c r="D237" t="s">
        <v>2267</v>
      </c>
      <c r="E237">
        <v>78</v>
      </c>
      <c r="F237">
        <v>11862</v>
      </c>
      <c r="G237" t="s">
        <v>63</v>
      </c>
    </row>
    <row r="238" spans="1:7" x14ac:dyDescent="0.3">
      <c r="A238" t="s">
        <v>2495</v>
      </c>
      <c r="B238" t="s">
        <v>408</v>
      </c>
      <c r="C238" s="7">
        <v>45394</v>
      </c>
      <c r="D238" t="s">
        <v>2255</v>
      </c>
      <c r="E238">
        <v>93</v>
      </c>
      <c r="F238">
        <v>15051.06</v>
      </c>
      <c r="G238" t="s">
        <v>63</v>
      </c>
    </row>
    <row r="239" spans="1:7" x14ac:dyDescent="0.3">
      <c r="A239" t="s">
        <v>2496</v>
      </c>
      <c r="B239" t="s">
        <v>346</v>
      </c>
      <c r="C239" s="7">
        <v>45709</v>
      </c>
      <c r="D239" t="s">
        <v>2261</v>
      </c>
      <c r="E239">
        <v>48</v>
      </c>
      <c r="F239">
        <v>17809.150000000001</v>
      </c>
      <c r="G239" t="s">
        <v>71</v>
      </c>
    </row>
    <row r="240" spans="1:7" x14ac:dyDescent="0.3">
      <c r="A240" t="s">
        <v>2497</v>
      </c>
      <c r="B240" t="s">
        <v>138</v>
      </c>
      <c r="C240" s="7">
        <v>45921</v>
      </c>
      <c r="D240" t="s">
        <v>2261</v>
      </c>
      <c r="E240">
        <v>22</v>
      </c>
      <c r="F240">
        <v>15346.26</v>
      </c>
      <c r="G240" t="s">
        <v>74</v>
      </c>
    </row>
    <row r="241" spans="1:7" x14ac:dyDescent="0.3">
      <c r="A241" t="s">
        <v>2498</v>
      </c>
      <c r="B241" t="s">
        <v>745</v>
      </c>
      <c r="C241" s="7">
        <v>45603</v>
      </c>
      <c r="D241" t="s">
        <v>2267</v>
      </c>
      <c r="E241">
        <v>63</v>
      </c>
      <c r="F241">
        <v>11174.84</v>
      </c>
      <c r="G241" t="s">
        <v>71</v>
      </c>
    </row>
    <row r="242" spans="1:7" x14ac:dyDescent="0.3">
      <c r="A242" t="s">
        <v>2499</v>
      </c>
      <c r="B242" t="s">
        <v>26</v>
      </c>
      <c r="C242" s="7">
        <v>45767</v>
      </c>
      <c r="D242" t="s">
        <v>2255</v>
      </c>
      <c r="E242">
        <v>17</v>
      </c>
      <c r="F242">
        <v>18540.02</v>
      </c>
      <c r="G242" t="s">
        <v>71</v>
      </c>
    </row>
    <row r="243" spans="1:7" x14ac:dyDescent="0.3">
      <c r="A243" t="s">
        <v>2500</v>
      </c>
      <c r="B243" t="s">
        <v>562</v>
      </c>
      <c r="C243" s="7">
        <v>45405</v>
      </c>
      <c r="D243" t="s">
        <v>2267</v>
      </c>
      <c r="E243">
        <v>117</v>
      </c>
      <c r="F243">
        <v>17347.77</v>
      </c>
      <c r="G243" t="s">
        <v>63</v>
      </c>
    </row>
    <row r="244" spans="1:7" x14ac:dyDescent="0.3">
      <c r="A244" t="s">
        <v>2501</v>
      </c>
      <c r="B244" t="s">
        <v>149</v>
      </c>
      <c r="C244" s="7">
        <v>45997</v>
      </c>
      <c r="D244" t="s">
        <v>2259</v>
      </c>
      <c r="E244">
        <v>103</v>
      </c>
      <c r="F244">
        <v>9137.23</v>
      </c>
      <c r="G244" t="s">
        <v>74</v>
      </c>
    </row>
    <row r="245" spans="1:7" x14ac:dyDescent="0.3">
      <c r="A245" t="s">
        <v>2502</v>
      </c>
      <c r="B245" t="s">
        <v>509</v>
      </c>
      <c r="C245" s="7">
        <v>45384</v>
      </c>
      <c r="D245" t="s">
        <v>2261</v>
      </c>
      <c r="E245">
        <v>3</v>
      </c>
      <c r="F245">
        <v>7771.97</v>
      </c>
      <c r="G245" t="s">
        <v>63</v>
      </c>
    </row>
    <row r="246" spans="1:7" x14ac:dyDescent="0.3">
      <c r="A246" t="s">
        <v>2503</v>
      </c>
      <c r="B246" t="s">
        <v>971</v>
      </c>
      <c r="C246" s="7">
        <v>45708</v>
      </c>
      <c r="D246" t="s">
        <v>2261</v>
      </c>
      <c r="E246">
        <v>13</v>
      </c>
      <c r="F246">
        <v>4516.18</v>
      </c>
      <c r="G246" t="s">
        <v>2256</v>
      </c>
    </row>
    <row r="247" spans="1:7" x14ac:dyDescent="0.3">
      <c r="A247" t="s">
        <v>2504</v>
      </c>
      <c r="B247" t="s">
        <v>825</v>
      </c>
      <c r="C247" s="7">
        <v>45821</v>
      </c>
      <c r="D247" t="s">
        <v>2255</v>
      </c>
      <c r="E247">
        <v>41</v>
      </c>
      <c r="F247">
        <v>16304.99</v>
      </c>
      <c r="G247" t="s">
        <v>63</v>
      </c>
    </row>
    <row r="248" spans="1:7" x14ac:dyDescent="0.3">
      <c r="A248" t="s">
        <v>2505</v>
      </c>
      <c r="B248" t="s">
        <v>1031</v>
      </c>
      <c r="C248" s="7">
        <v>45911</v>
      </c>
      <c r="D248" t="s">
        <v>2267</v>
      </c>
      <c r="E248">
        <v>90</v>
      </c>
      <c r="F248">
        <v>15386.3</v>
      </c>
      <c r="G248" t="s">
        <v>63</v>
      </c>
    </row>
    <row r="249" spans="1:7" x14ac:dyDescent="0.3">
      <c r="A249" t="s">
        <v>2506</v>
      </c>
      <c r="B249" t="s">
        <v>762</v>
      </c>
      <c r="C249" s="7">
        <v>45589</v>
      </c>
      <c r="D249" t="s">
        <v>2259</v>
      </c>
      <c r="E249">
        <v>78</v>
      </c>
      <c r="F249">
        <v>19298.5</v>
      </c>
      <c r="G249" t="s">
        <v>71</v>
      </c>
    </row>
    <row r="250" spans="1:7" x14ac:dyDescent="0.3">
      <c r="A250" t="s">
        <v>2507</v>
      </c>
      <c r="B250" t="s">
        <v>412</v>
      </c>
      <c r="C250" s="7">
        <v>45980</v>
      </c>
      <c r="D250" t="s">
        <v>2259</v>
      </c>
      <c r="E250">
        <v>2</v>
      </c>
      <c r="F250">
        <v>7607.52</v>
      </c>
      <c r="G250" t="s">
        <v>71</v>
      </c>
    </row>
    <row r="251" spans="1:7" x14ac:dyDescent="0.3">
      <c r="A251" t="s">
        <v>2508</v>
      </c>
      <c r="B251" t="s">
        <v>115</v>
      </c>
      <c r="C251" s="7">
        <v>45927</v>
      </c>
      <c r="D251" t="s">
        <v>2261</v>
      </c>
      <c r="E251">
        <v>30</v>
      </c>
      <c r="F251">
        <v>9101.7099999999991</v>
      </c>
      <c r="G251" t="s">
        <v>63</v>
      </c>
    </row>
    <row r="252" spans="1:7" x14ac:dyDescent="0.3">
      <c r="A252" t="s">
        <v>2509</v>
      </c>
      <c r="B252" t="s">
        <v>303</v>
      </c>
      <c r="C252" s="7">
        <v>45590</v>
      </c>
      <c r="D252" t="s">
        <v>2259</v>
      </c>
      <c r="E252">
        <v>41</v>
      </c>
      <c r="F252">
        <v>2963.64</v>
      </c>
      <c r="G252" t="s">
        <v>2256</v>
      </c>
    </row>
    <row r="253" spans="1:7" x14ac:dyDescent="0.3">
      <c r="A253" t="s">
        <v>2510</v>
      </c>
      <c r="B253" t="s">
        <v>127</v>
      </c>
      <c r="C253" s="7">
        <v>45749</v>
      </c>
      <c r="D253" t="s">
        <v>2259</v>
      </c>
      <c r="E253">
        <v>38</v>
      </c>
      <c r="F253">
        <v>5460.13</v>
      </c>
      <c r="G253" t="s">
        <v>2256</v>
      </c>
    </row>
    <row r="254" spans="1:7" x14ac:dyDescent="0.3">
      <c r="A254" t="s">
        <v>2511</v>
      </c>
      <c r="B254" t="s">
        <v>256</v>
      </c>
      <c r="C254" s="7">
        <v>45371</v>
      </c>
      <c r="D254" t="s">
        <v>2267</v>
      </c>
      <c r="E254">
        <v>87</v>
      </c>
      <c r="F254">
        <v>3765.3</v>
      </c>
      <c r="G254" t="s">
        <v>74</v>
      </c>
    </row>
    <row r="255" spans="1:7" x14ac:dyDescent="0.3">
      <c r="A255" t="s">
        <v>2512</v>
      </c>
      <c r="B255" t="s">
        <v>825</v>
      </c>
      <c r="C255" s="7">
        <v>45666</v>
      </c>
      <c r="D255" t="s">
        <v>2255</v>
      </c>
      <c r="E255">
        <v>99</v>
      </c>
      <c r="F255">
        <v>735</v>
      </c>
      <c r="G255" t="s">
        <v>71</v>
      </c>
    </row>
    <row r="256" spans="1:7" x14ac:dyDescent="0.3">
      <c r="A256" t="s">
        <v>2513</v>
      </c>
      <c r="B256" t="s">
        <v>219</v>
      </c>
      <c r="C256" s="7">
        <v>45946</v>
      </c>
      <c r="D256" t="s">
        <v>2255</v>
      </c>
      <c r="E256">
        <v>93</v>
      </c>
      <c r="F256">
        <v>6686.78</v>
      </c>
      <c r="G256" t="s">
        <v>74</v>
      </c>
    </row>
    <row r="257" spans="1:7" x14ac:dyDescent="0.3">
      <c r="A257" t="s">
        <v>2514</v>
      </c>
      <c r="B257" t="s">
        <v>1017</v>
      </c>
      <c r="C257" s="7">
        <v>45904</v>
      </c>
      <c r="D257" t="s">
        <v>2267</v>
      </c>
      <c r="E257">
        <v>41</v>
      </c>
      <c r="F257">
        <v>9224.86</v>
      </c>
      <c r="G257" t="s">
        <v>71</v>
      </c>
    </row>
    <row r="258" spans="1:7" x14ac:dyDescent="0.3">
      <c r="A258" t="s">
        <v>2515</v>
      </c>
      <c r="B258" t="s">
        <v>810</v>
      </c>
      <c r="C258" s="7">
        <v>45888</v>
      </c>
      <c r="D258" t="s">
        <v>2259</v>
      </c>
      <c r="E258">
        <v>2</v>
      </c>
      <c r="F258">
        <v>3326.82</v>
      </c>
      <c r="G258" t="s">
        <v>74</v>
      </c>
    </row>
    <row r="259" spans="1:7" x14ac:dyDescent="0.3">
      <c r="A259" t="s">
        <v>2516</v>
      </c>
      <c r="B259" t="s">
        <v>571</v>
      </c>
      <c r="C259" s="7">
        <v>45750</v>
      </c>
      <c r="D259" t="s">
        <v>2261</v>
      </c>
      <c r="E259">
        <v>29</v>
      </c>
      <c r="F259">
        <v>13177.46</v>
      </c>
      <c r="G259" t="s">
        <v>63</v>
      </c>
    </row>
    <row r="260" spans="1:7" x14ac:dyDescent="0.3">
      <c r="A260" t="s">
        <v>2517</v>
      </c>
      <c r="B260" t="s">
        <v>27</v>
      </c>
      <c r="C260" s="7">
        <v>45609</v>
      </c>
      <c r="D260" t="s">
        <v>2261</v>
      </c>
      <c r="E260">
        <v>109</v>
      </c>
      <c r="F260">
        <v>1743.08</v>
      </c>
      <c r="G260" t="s">
        <v>74</v>
      </c>
    </row>
    <row r="261" spans="1:7" x14ac:dyDescent="0.3">
      <c r="A261" t="s">
        <v>2518</v>
      </c>
      <c r="B261" t="s">
        <v>90</v>
      </c>
      <c r="C261" s="7">
        <v>45528</v>
      </c>
      <c r="D261" t="s">
        <v>2267</v>
      </c>
      <c r="E261">
        <v>3</v>
      </c>
      <c r="F261">
        <v>18241.8</v>
      </c>
      <c r="G261" t="s">
        <v>74</v>
      </c>
    </row>
    <row r="262" spans="1:7" x14ac:dyDescent="0.3">
      <c r="A262" t="s">
        <v>2519</v>
      </c>
      <c r="B262" t="s">
        <v>1</v>
      </c>
      <c r="C262" s="7">
        <v>45674</v>
      </c>
      <c r="D262" t="s">
        <v>2255</v>
      </c>
      <c r="E262">
        <v>57</v>
      </c>
      <c r="F262">
        <v>3242.84</v>
      </c>
      <c r="G262" t="s">
        <v>2256</v>
      </c>
    </row>
    <row r="263" spans="1:7" x14ac:dyDescent="0.3">
      <c r="A263" t="s">
        <v>2520</v>
      </c>
      <c r="B263" t="s">
        <v>529</v>
      </c>
      <c r="C263" s="7">
        <v>45513</v>
      </c>
      <c r="D263" t="s">
        <v>2261</v>
      </c>
      <c r="E263">
        <v>4</v>
      </c>
      <c r="F263">
        <v>6110.51</v>
      </c>
      <c r="G263" t="s">
        <v>2256</v>
      </c>
    </row>
    <row r="264" spans="1:7" x14ac:dyDescent="0.3">
      <c r="A264" t="s">
        <v>2521</v>
      </c>
      <c r="B264" t="s">
        <v>113</v>
      </c>
      <c r="C264" s="7">
        <v>45741</v>
      </c>
      <c r="D264" t="s">
        <v>2255</v>
      </c>
      <c r="E264">
        <v>46</v>
      </c>
      <c r="F264">
        <v>13721.49</v>
      </c>
      <c r="G264" t="s">
        <v>74</v>
      </c>
    </row>
    <row r="265" spans="1:7" x14ac:dyDescent="0.3">
      <c r="A265" t="s">
        <v>2522</v>
      </c>
      <c r="B265" t="s">
        <v>866</v>
      </c>
      <c r="C265" s="7">
        <v>45707</v>
      </c>
      <c r="D265" t="s">
        <v>2259</v>
      </c>
      <c r="E265">
        <v>110</v>
      </c>
      <c r="F265">
        <v>19811.3</v>
      </c>
      <c r="G265" t="s">
        <v>71</v>
      </c>
    </row>
    <row r="266" spans="1:7" x14ac:dyDescent="0.3">
      <c r="A266" t="s">
        <v>2523</v>
      </c>
      <c r="B266" t="s">
        <v>152</v>
      </c>
      <c r="C266" s="7">
        <v>45750</v>
      </c>
      <c r="D266" t="s">
        <v>2255</v>
      </c>
      <c r="E266">
        <v>28</v>
      </c>
      <c r="F266">
        <v>2510.09</v>
      </c>
      <c r="G266" t="s">
        <v>74</v>
      </c>
    </row>
    <row r="267" spans="1:7" x14ac:dyDescent="0.3">
      <c r="A267" t="s">
        <v>2524</v>
      </c>
      <c r="B267" t="s">
        <v>20</v>
      </c>
      <c r="C267" s="7">
        <v>45414</v>
      </c>
      <c r="D267" t="s">
        <v>2267</v>
      </c>
      <c r="E267">
        <v>69</v>
      </c>
      <c r="F267">
        <v>15626.68</v>
      </c>
      <c r="G267" t="s">
        <v>63</v>
      </c>
    </row>
    <row r="268" spans="1:7" x14ac:dyDescent="0.3">
      <c r="A268" t="s">
        <v>2525</v>
      </c>
      <c r="B268" t="s">
        <v>745</v>
      </c>
      <c r="C268" s="7">
        <v>45402</v>
      </c>
      <c r="D268" t="s">
        <v>2259</v>
      </c>
      <c r="E268">
        <v>13</v>
      </c>
      <c r="F268">
        <v>13461.35</v>
      </c>
      <c r="G268" t="s">
        <v>71</v>
      </c>
    </row>
    <row r="269" spans="1:7" x14ac:dyDescent="0.3">
      <c r="A269" t="s">
        <v>2526</v>
      </c>
      <c r="B269" t="s">
        <v>379</v>
      </c>
      <c r="C269" s="7">
        <v>45667</v>
      </c>
      <c r="D269" t="s">
        <v>2255</v>
      </c>
      <c r="E269">
        <v>1</v>
      </c>
      <c r="F269">
        <v>1256.8800000000001</v>
      </c>
      <c r="G269" t="s">
        <v>71</v>
      </c>
    </row>
    <row r="270" spans="1:7" x14ac:dyDescent="0.3">
      <c r="A270" t="s">
        <v>2527</v>
      </c>
      <c r="B270" t="s">
        <v>743</v>
      </c>
      <c r="C270" s="7">
        <v>45577</v>
      </c>
      <c r="D270" t="s">
        <v>2259</v>
      </c>
      <c r="E270">
        <v>75</v>
      </c>
      <c r="F270">
        <v>19950.27</v>
      </c>
      <c r="G270" t="s">
        <v>74</v>
      </c>
    </row>
    <row r="271" spans="1:7" x14ac:dyDescent="0.3">
      <c r="A271" t="s">
        <v>2528</v>
      </c>
      <c r="B271" t="s">
        <v>86</v>
      </c>
      <c r="C271" s="7">
        <v>45653</v>
      </c>
      <c r="D271" t="s">
        <v>2261</v>
      </c>
      <c r="E271">
        <v>18</v>
      </c>
      <c r="F271">
        <v>14883.71</v>
      </c>
      <c r="G271" t="s">
        <v>71</v>
      </c>
    </row>
    <row r="272" spans="1:7" x14ac:dyDescent="0.3">
      <c r="A272" t="s">
        <v>2529</v>
      </c>
      <c r="B272" t="s">
        <v>747</v>
      </c>
      <c r="C272" s="7">
        <v>45752</v>
      </c>
      <c r="D272" t="s">
        <v>2259</v>
      </c>
      <c r="E272">
        <v>94</v>
      </c>
      <c r="F272">
        <v>5830</v>
      </c>
      <c r="G272" t="s">
        <v>74</v>
      </c>
    </row>
    <row r="273" spans="1:7" x14ac:dyDescent="0.3">
      <c r="A273" t="s">
        <v>2530</v>
      </c>
      <c r="B273" t="s">
        <v>887</v>
      </c>
      <c r="C273" s="7">
        <v>45438</v>
      </c>
      <c r="D273" t="s">
        <v>2267</v>
      </c>
      <c r="E273">
        <v>97</v>
      </c>
      <c r="F273">
        <v>7119.6</v>
      </c>
      <c r="G273" t="s">
        <v>71</v>
      </c>
    </row>
    <row r="274" spans="1:7" x14ac:dyDescent="0.3">
      <c r="A274" t="s">
        <v>2531</v>
      </c>
      <c r="B274" t="s">
        <v>203</v>
      </c>
      <c r="C274" s="7">
        <v>45941</v>
      </c>
      <c r="D274" t="s">
        <v>2261</v>
      </c>
      <c r="E274">
        <v>71</v>
      </c>
      <c r="F274">
        <v>1822.16</v>
      </c>
      <c r="G274" t="s">
        <v>63</v>
      </c>
    </row>
    <row r="275" spans="1:7" x14ac:dyDescent="0.3">
      <c r="A275" t="s">
        <v>2532</v>
      </c>
      <c r="B275" t="s">
        <v>505</v>
      </c>
      <c r="C275" s="7">
        <v>45953</v>
      </c>
      <c r="D275" t="s">
        <v>2255</v>
      </c>
      <c r="E275">
        <v>103</v>
      </c>
      <c r="F275">
        <v>14455.09</v>
      </c>
      <c r="G275" t="s">
        <v>71</v>
      </c>
    </row>
    <row r="276" spans="1:7" x14ac:dyDescent="0.3">
      <c r="A276" t="s">
        <v>2533</v>
      </c>
      <c r="B276" t="s">
        <v>708</v>
      </c>
      <c r="C276" s="7">
        <v>45429</v>
      </c>
      <c r="D276" t="s">
        <v>2255</v>
      </c>
      <c r="E276">
        <v>51</v>
      </c>
      <c r="F276">
        <v>9621.36</v>
      </c>
      <c r="G276" t="s">
        <v>2256</v>
      </c>
    </row>
    <row r="277" spans="1:7" x14ac:dyDescent="0.3">
      <c r="A277" t="s">
        <v>2534</v>
      </c>
      <c r="B277" t="s">
        <v>910</v>
      </c>
      <c r="C277" s="7">
        <v>45983</v>
      </c>
      <c r="D277" t="s">
        <v>2259</v>
      </c>
      <c r="E277">
        <v>27</v>
      </c>
      <c r="F277">
        <v>6772.46</v>
      </c>
      <c r="G277" t="s">
        <v>74</v>
      </c>
    </row>
    <row r="278" spans="1:7" x14ac:dyDescent="0.3">
      <c r="A278" t="s">
        <v>2535</v>
      </c>
      <c r="B278" t="s">
        <v>239</v>
      </c>
      <c r="C278" s="7">
        <v>45901</v>
      </c>
      <c r="D278" t="s">
        <v>2255</v>
      </c>
      <c r="E278">
        <v>70</v>
      </c>
      <c r="F278">
        <v>7179.14</v>
      </c>
      <c r="G278" t="s">
        <v>74</v>
      </c>
    </row>
    <row r="279" spans="1:7" x14ac:dyDescent="0.3">
      <c r="A279" t="s">
        <v>2536</v>
      </c>
      <c r="B279" t="s">
        <v>455</v>
      </c>
      <c r="C279" s="7">
        <v>46015</v>
      </c>
      <c r="D279" t="s">
        <v>2267</v>
      </c>
      <c r="E279">
        <v>83</v>
      </c>
      <c r="F279">
        <v>10301.31</v>
      </c>
      <c r="G279" t="s">
        <v>2256</v>
      </c>
    </row>
    <row r="280" spans="1:7" x14ac:dyDescent="0.3">
      <c r="A280" t="s">
        <v>2537</v>
      </c>
      <c r="B280" t="s">
        <v>265</v>
      </c>
      <c r="C280" s="7">
        <v>45592</v>
      </c>
      <c r="D280" t="s">
        <v>2267</v>
      </c>
      <c r="E280">
        <v>109</v>
      </c>
      <c r="F280">
        <v>3129.22</v>
      </c>
      <c r="G280" t="s">
        <v>63</v>
      </c>
    </row>
    <row r="281" spans="1:7" x14ac:dyDescent="0.3">
      <c r="A281" t="s">
        <v>2538</v>
      </c>
      <c r="B281" t="s">
        <v>662</v>
      </c>
      <c r="C281" s="7">
        <v>45322</v>
      </c>
      <c r="D281" t="s">
        <v>2261</v>
      </c>
      <c r="E281">
        <v>59</v>
      </c>
      <c r="F281">
        <v>16620.54</v>
      </c>
      <c r="G281" t="s">
        <v>74</v>
      </c>
    </row>
    <row r="282" spans="1:7" x14ac:dyDescent="0.3">
      <c r="A282" t="s">
        <v>2539</v>
      </c>
      <c r="B282" t="s">
        <v>124</v>
      </c>
      <c r="C282" s="7">
        <v>45807</v>
      </c>
      <c r="D282" t="s">
        <v>2267</v>
      </c>
      <c r="E282">
        <v>77</v>
      </c>
      <c r="F282">
        <v>13208.24</v>
      </c>
      <c r="G282" t="s">
        <v>2256</v>
      </c>
    </row>
    <row r="283" spans="1:7" x14ac:dyDescent="0.3">
      <c r="A283" t="s">
        <v>2540</v>
      </c>
      <c r="B283" t="s">
        <v>730</v>
      </c>
      <c r="C283" s="7">
        <v>45701</v>
      </c>
      <c r="D283" t="s">
        <v>2259</v>
      </c>
      <c r="E283">
        <v>97</v>
      </c>
      <c r="F283">
        <v>19292.39</v>
      </c>
      <c r="G283" t="s">
        <v>63</v>
      </c>
    </row>
    <row r="284" spans="1:7" x14ac:dyDescent="0.3">
      <c r="A284" t="s">
        <v>2541</v>
      </c>
      <c r="B284" t="s">
        <v>381</v>
      </c>
      <c r="C284" s="7">
        <v>45917</v>
      </c>
      <c r="D284" t="s">
        <v>2261</v>
      </c>
      <c r="E284">
        <v>118</v>
      </c>
      <c r="F284">
        <v>10523.48</v>
      </c>
      <c r="G284" t="s">
        <v>71</v>
      </c>
    </row>
    <row r="285" spans="1:7" x14ac:dyDescent="0.3">
      <c r="A285" t="s">
        <v>2542</v>
      </c>
      <c r="B285" t="s">
        <v>75</v>
      </c>
      <c r="C285" s="7">
        <v>45628</v>
      </c>
      <c r="D285" t="s">
        <v>2255</v>
      </c>
      <c r="E285">
        <v>105</v>
      </c>
      <c r="F285">
        <v>7817.92</v>
      </c>
      <c r="G285" t="s">
        <v>63</v>
      </c>
    </row>
    <row r="286" spans="1:7" x14ac:dyDescent="0.3">
      <c r="A286" t="s">
        <v>2543</v>
      </c>
      <c r="B286" t="s">
        <v>571</v>
      </c>
      <c r="C286" s="7">
        <v>45495</v>
      </c>
      <c r="D286" t="s">
        <v>2259</v>
      </c>
      <c r="E286">
        <v>24</v>
      </c>
      <c r="F286">
        <v>19869.12</v>
      </c>
      <c r="G286" t="s">
        <v>63</v>
      </c>
    </row>
    <row r="287" spans="1:7" x14ac:dyDescent="0.3">
      <c r="A287" t="s">
        <v>2544</v>
      </c>
      <c r="B287" t="s">
        <v>1031</v>
      </c>
      <c r="C287" s="7">
        <v>45662</v>
      </c>
      <c r="D287" t="s">
        <v>2259</v>
      </c>
      <c r="E287">
        <v>107</v>
      </c>
      <c r="F287">
        <v>7372.09</v>
      </c>
      <c r="G287" t="s">
        <v>2256</v>
      </c>
    </row>
    <row r="288" spans="1:7" x14ac:dyDescent="0.3">
      <c r="A288" t="s">
        <v>2545</v>
      </c>
      <c r="B288" t="s">
        <v>121</v>
      </c>
      <c r="C288" s="7">
        <v>45973</v>
      </c>
      <c r="D288" t="s">
        <v>2259</v>
      </c>
      <c r="E288">
        <v>34</v>
      </c>
      <c r="F288">
        <v>10625.8</v>
      </c>
      <c r="G288" t="s">
        <v>63</v>
      </c>
    </row>
    <row r="289" spans="1:7" x14ac:dyDescent="0.3">
      <c r="A289" t="s">
        <v>2546</v>
      </c>
      <c r="B289" t="s">
        <v>21</v>
      </c>
      <c r="C289" s="7">
        <v>45647</v>
      </c>
      <c r="D289" t="s">
        <v>2267</v>
      </c>
      <c r="E289">
        <v>105</v>
      </c>
      <c r="F289">
        <v>16063.17</v>
      </c>
      <c r="G289" t="s">
        <v>63</v>
      </c>
    </row>
    <row r="290" spans="1:7" x14ac:dyDescent="0.3">
      <c r="A290" t="s">
        <v>2547</v>
      </c>
      <c r="B290" t="s">
        <v>571</v>
      </c>
      <c r="C290" s="7">
        <v>45637</v>
      </c>
      <c r="D290" t="s">
        <v>2259</v>
      </c>
      <c r="E290">
        <v>81</v>
      </c>
      <c r="F290">
        <v>2847.99</v>
      </c>
      <c r="G290" t="s">
        <v>71</v>
      </c>
    </row>
    <row r="291" spans="1:7" x14ac:dyDescent="0.3">
      <c r="A291" t="s">
        <v>2548</v>
      </c>
      <c r="B291" t="s">
        <v>962</v>
      </c>
      <c r="C291" s="7">
        <v>46000</v>
      </c>
      <c r="D291" t="s">
        <v>2261</v>
      </c>
      <c r="E291">
        <v>77</v>
      </c>
      <c r="F291">
        <v>18898.689999999999</v>
      </c>
      <c r="G291" t="s">
        <v>63</v>
      </c>
    </row>
    <row r="292" spans="1:7" x14ac:dyDescent="0.3">
      <c r="A292" t="s">
        <v>2549</v>
      </c>
      <c r="B292" t="s">
        <v>367</v>
      </c>
      <c r="C292" s="7">
        <v>45916</v>
      </c>
      <c r="D292" t="s">
        <v>2255</v>
      </c>
      <c r="E292">
        <v>39</v>
      </c>
      <c r="F292">
        <v>8798.02</v>
      </c>
      <c r="G292" t="s">
        <v>63</v>
      </c>
    </row>
    <row r="293" spans="1:7" x14ac:dyDescent="0.3">
      <c r="A293" t="s">
        <v>2550</v>
      </c>
      <c r="B293" t="s">
        <v>687</v>
      </c>
      <c r="C293" s="7">
        <v>45556</v>
      </c>
      <c r="D293" t="s">
        <v>2267</v>
      </c>
      <c r="E293">
        <v>115</v>
      </c>
      <c r="F293">
        <v>9919.2099999999991</v>
      </c>
      <c r="G293" t="s">
        <v>71</v>
      </c>
    </row>
    <row r="294" spans="1:7" x14ac:dyDescent="0.3">
      <c r="A294" t="s">
        <v>2551</v>
      </c>
      <c r="B294" t="s">
        <v>4</v>
      </c>
      <c r="C294" s="7">
        <v>45635</v>
      </c>
      <c r="D294" t="s">
        <v>2267</v>
      </c>
      <c r="E294">
        <v>58</v>
      </c>
      <c r="F294">
        <v>11154.46</v>
      </c>
      <c r="G294" t="s">
        <v>74</v>
      </c>
    </row>
    <row r="295" spans="1:7" x14ac:dyDescent="0.3">
      <c r="A295" t="s">
        <v>2552</v>
      </c>
      <c r="B295" t="s">
        <v>317</v>
      </c>
      <c r="C295" s="7">
        <v>45749</v>
      </c>
      <c r="D295" t="s">
        <v>2259</v>
      </c>
      <c r="E295">
        <v>52</v>
      </c>
      <c r="F295">
        <v>15342.15</v>
      </c>
      <c r="G295" t="s">
        <v>2256</v>
      </c>
    </row>
    <row r="296" spans="1:7" x14ac:dyDescent="0.3">
      <c r="A296" t="s">
        <v>2553</v>
      </c>
      <c r="B296" t="s">
        <v>268</v>
      </c>
      <c r="C296" s="7">
        <v>45896</v>
      </c>
      <c r="D296" t="s">
        <v>2261</v>
      </c>
      <c r="E296">
        <v>86</v>
      </c>
      <c r="F296">
        <v>2898.43</v>
      </c>
      <c r="G296" t="s">
        <v>2256</v>
      </c>
    </row>
    <row r="297" spans="1:7" x14ac:dyDescent="0.3">
      <c r="A297" t="s">
        <v>2554</v>
      </c>
      <c r="B297" t="s">
        <v>570</v>
      </c>
      <c r="C297" s="7">
        <v>45363</v>
      </c>
      <c r="D297" t="s">
        <v>2261</v>
      </c>
      <c r="E297">
        <v>114</v>
      </c>
      <c r="F297">
        <v>15896.13</v>
      </c>
      <c r="G297" t="s">
        <v>74</v>
      </c>
    </row>
    <row r="298" spans="1:7" x14ac:dyDescent="0.3">
      <c r="A298" t="s">
        <v>2555</v>
      </c>
      <c r="B298" t="s">
        <v>964</v>
      </c>
      <c r="C298" s="7">
        <v>46007</v>
      </c>
      <c r="D298" t="s">
        <v>2267</v>
      </c>
      <c r="E298">
        <v>65</v>
      </c>
      <c r="F298">
        <v>18370.310000000001</v>
      </c>
      <c r="G298" t="s">
        <v>74</v>
      </c>
    </row>
    <row r="299" spans="1:7" x14ac:dyDescent="0.3">
      <c r="A299" t="s">
        <v>2556</v>
      </c>
      <c r="B299" t="s">
        <v>115</v>
      </c>
      <c r="C299" s="7">
        <v>45993</v>
      </c>
      <c r="D299" t="s">
        <v>2261</v>
      </c>
      <c r="E299">
        <v>27</v>
      </c>
      <c r="F299">
        <v>19857.740000000002</v>
      </c>
      <c r="G299" t="s">
        <v>74</v>
      </c>
    </row>
    <row r="300" spans="1:7" x14ac:dyDescent="0.3">
      <c r="A300" t="s">
        <v>2557</v>
      </c>
      <c r="B300" t="s">
        <v>722</v>
      </c>
      <c r="C300" s="7">
        <v>45877</v>
      </c>
      <c r="D300" t="s">
        <v>2267</v>
      </c>
      <c r="E300">
        <v>115</v>
      </c>
      <c r="F300">
        <v>8753.83</v>
      </c>
      <c r="G300" t="s">
        <v>74</v>
      </c>
    </row>
    <row r="301" spans="1:7" x14ac:dyDescent="0.3">
      <c r="A301" t="s">
        <v>2558</v>
      </c>
      <c r="B301" t="s">
        <v>910</v>
      </c>
      <c r="C301" s="7">
        <v>45976</v>
      </c>
      <c r="D301" t="s">
        <v>2267</v>
      </c>
      <c r="E301">
        <v>73</v>
      </c>
      <c r="F301">
        <v>14332.33</v>
      </c>
      <c r="G301" t="s">
        <v>71</v>
      </c>
    </row>
    <row r="302" spans="1:7" x14ac:dyDescent="0.3">
      <c r="A302" t="s">
        <v>2559</v>
      </c>
      <c r="B302" t="s">
        <v>417</v>
      </c>
      <c r="C302" s="7">
        <v>45654</v>
      </c>
      <c r="D302" t="s">
        <v>2267</v>
      </c>
      <c r="E302">
        <v>98</v>
      </c>
      <c r="F302">
        <v>17356.599999999999</v>
      </c>
      <c r="G302" t="s">
        <v>74</v>
      </c>
    </row>
    <row r="303" spans="1:7" x14ac:dyDescent="0.3">
      <c r="A303" t="s">
        <v>2560</v>
      </c>
      <c r="B303" t="s">
        <v>609</v>
      </c>
      <c r="C303" s="7">
        <v>45986</v>
      </c>
      <c r="D303" t="s">
        <v>2255</v>
      </c>
      <c r="E303">
        <v>10</v>
      </c>
      <c r="F303">
        <v>2254.8000000000002</v>
      </c>
      <c r="G303" t="s">
        <v>63</v>
      </c>
    </row>
    <row r="304" spans="1:7" x14ac:dyDescent="0.3">
      <c r="A304" t="s">
        <v>2561</v>
      </c>
      <c r="B304" t="s">
        <v>508</v>
      </c>
      <c r="C304" s="7">
        <v>45963</v>
      </c>
      <c r="D304" t="s">
        <v>2267</v>
      </c>
      <c r="E304">
        <v>101</v>
      </c>
      <c r="F304">
        <v>18002.64</v>
      </c>
      <c r="G304" t="s">
        <v>71</v>
      </c>
    </row>
    <row r="305" spans="1:7" x14ac:dyDescent="0.3">
      <c r="A305" t="s">
        <v>2562</v>
      </c>
      <c r="B305" t="s">
        <v>678</v>
      </c>
      <c r="C305" s="7">
        <v>45834</v>
      </c>
      <c r="D305" t="s">
        <v>2255</v>
      </c>
      <c r="E305">
        <v>37</v>
      </c>
      <c r="F305">
        <v>5180.09</v>
      </c>
      <c r="G305" t="s">
        <v>71</v>
      </c>
    </row>
    <row r="306" spans="1:7" x14ac:dyDescent="0.3">
      <c r="A306" t="s">
        <v>2563</v>
      </c>
      <c r="B306" t="s">
        <v>225</v>
      </c>
      <c r="C306" s="7">
        <v>45692</v>
      </c>
      <c r="D306" t="s">
        <v>2261</v>
      </c>
      <c r="E306">
        <v>9</v>
      </c>
      <c r="F306">
        <v>7036.56</v>
      </c>
      <c r="G306" t="s">
        <v>2256</v>
      </c>
    </row>
    <row r="307" spans="1:7" x14ac:dyDescent="0.3">
      <c r="A307" t="s">
        <v>2564</v>
      </c>
      <c r="B307" t="s">
        <v>671</v>
      </c>
      <c r="C307" s="7">
        <v>45778</v>
      </c>
      <c r="D307" t="s">
        <v>2259</v>
      </c>
      <c r="E307">
        <v>40</v>
      </c>
      <c r="F307">
        <v>9215.82</v>
      </c>
      <c r="G307" t="s">
        <v>63</v>
      </c>
    </row>
    <row r="308" spans="1:7" x14ac:dyDescent="0.3">
      <c r="A308" t="s">
        <v>2565</v>
      </c>
      <c r="B308" t="s">
        <v>513</v>
      </c>
      <c r="C308" s="7">
        <v>45341</v>
      </c>
      <c r="D308" t="s">
        <v>2255</v>
      </c>
      <c r="E308">
        <v>14</v>
      </c>
      <c r="F308">
        <v>18451.27</v>
      </c>
      <c r="G308" t="s">
        <v>63</v>
      </c>
    </row>
    <row r="309" spans="1:7" x14ac:dyDescent="0.3">
      <c r="A309" t="s">
        <v>2566</v>
      </c>
      <c r="B309" t="s">
        <v>668</v>
      </c>
      <c r="C309" s="7">
        <v>45539</v>
      </c>
      <c r="D309" t="s">
        <v>2259</v>
      </c>
      <c r="E309">
        <v>108</v>
      </c>
      <c r="F309">
        <v>16331.27</v>
      </c>
      <c r="G309" t="s">
        <v>63</v>
      </c>
    </row>
    <row r="310" spans="1:7" x14ac:dyDescent="0.3">
      <c r="A310" t="s">
        <v>2567</v>
      </c>
      <c r="B310" t="s">
        <v>942</v>
      </c>
      <c r="C310" s="7">
        <v>45380</v>
      </c>
      <c r="D310" t="s">
        <v>2261</v>
      </c>
      <c r="E310">
        <v>114</v>
      </c>
      <c r="F310">
        <v>9305.5300000000007</v>
      </c>
      <c r="G310" t="s">
        <v>71</v>
      </c>
    </row>
    <row r="311" spans="1:7" x14ac:dyDescent="0.3">
      <c r="A311" t="s">
        <v>2568</v>
      </c>
      <c r="B311" t="s">
        <v>278</v>
      </c>
      <c r="C311" s="7">
        <v>45862</v>
      </c>
      <c r="D311" t="s">
        <v>2259</v>
      </c>
      <c r="E311">
        <v>55</v>
      </c>
      <c r="F311">
        <v>19620.96</v>
      </c>
      <c r="G311" t="s">
        <v>2256</v>
      </c>
    </row>
    <row r="312" spans="1:7" x14ac:dyDescent="0.3">
      <c r="A312" t="s">
        <v>2569</v>
      </c>
      <c r="B312" t="s">
        <v>761</v>
      </c>
      <c r="C312" s="7">
        <v>45925</v>
      </c>
      <c r="D312" t="s">
        <v>2259</v>
      </c>
      <c r="E312">
        <v>106</v>
      </c>
      <c r="F312">
        <v>16648.93</v>
      </c>
      <c r="G312" t="s">
        <v>2256</v>
      </c>
    </row>
    <row r="313" spans="1:7" x14ac:dyDescent="0.3">
      <c r="A313" t="s">
        <v>2570</v>
      </c>
      <c r="B313" t="s">
        <v>680</v>
      </c>
      <c r="C313" s="7">
        <v>45574</v>
      </c>
      <c r="D313" t="s">
        <v>2267</v>
      </c>
      <c r="E313">
        <v>111</v>
      </c>
      <c r="F313">
        <v>658.87</v>
      </c>
      <c r="G313" t="s">
        <v>74</v>
      </c>
    </row>
    <row r="314" spans="1:7" x14ac:dyDescent="0.3">
      <c r="A314" t="s">
        <v>2571</v>
      </c>
      <c r="B314" t="s">
        <v>609</v>
      </c>
      <c r="C314" s="7">
        <v>45756</v>
      </c>
      <c r="D314" t="s">
        <v>2255</v>
      </c>
      <c r="E314">
        <v>76</v>
      </c>
      <c r="F314">
        <v>7020.77</v>
      </c>
      <c r="G314" t="s">
        <v>63</v>
      </c>
    </row>
    <row r="315" spans="1:7" x14ac:dyDescent="0.3">
      <c r="A315" t="s">
        <v>2572</v>
      </c>
      <c r="B315" t="s">
        <v>440</v>
      </c>
      <c r="C315" s="7">
        <v>45836</v>
      </c>
      <c r="D315" t="s">
        <v>2259</v>
      </c>
      <c r="E315">
        <v>55</v>
      </c>
      <c r="F315">
        <v>11006.25</v>
      </c>
      <c r="G315" t="s">
        <v>74</v>
      </c>
    </row>
    <row r="316" spans="1:7" x14ac:dyDescent="0.3">
      <c r="A316" t="s">
        <v>2573</v>
      </c>
      <c r="B316" t="s">
        <v>687</v>
      </c>
      <c r="C316" s="7">
        <v>45538</v>
      </c>
      <c r="D316" t="s">
        <v>2267</v>
      </c>
      <c r="E316">
        <v>27</v>
      </c>
      <c r="F316">
        <v>3236.05</v>
      </c>
      <c r="G316" t="s">
        <v>2256</v>
      </c>
    </row>
    <row r="317" spans="1:7" x14ac:dyDescent="0.3">
      <c r="A317" t="s">
        <v>2574</v>
      </c>
      <c r="B317" t="s">
        <v>524</v>
      </c>
      <c r="C317" s="7">
        <v>45922</v>
      </c>
      <c r="D317" t="s">
        <v>2259</v>
      </c>
      <c r="E317">
        <v>76</v>
      </c>
      <c r="F317">
        <v>11247.49</v>
      </c>
      <c r="G317" t="s">
        <v>74</v>
      </c>
    </row>
    <row r="318" spans="1:7" x14ac:dyDescent="0.3">
      <c r="A318" t="s">
        <v>2575</v>
      </c>
      <c r="B318" t="s">
        <v>890</v>
      </c>
      <c r="C318" s="7">
        <v>45978</v>
      </c>
      <c r="D318" t="s">
        <v>2267</v>
      </c>
      <c r="E318">
        <v>39</v>
      </c>
      <c r="F318">
        <v>8586.74</v>
      </c>
      <c r="G318" t="s">
        <v>74</v>
      </c>
    </row>
    <row r="319" spans="1:7" x14ac:dyDescent="0.3">
      <c r="A319" t="s">
        <v>2576</v>
      </c>
      <c r="B319" t="s">
        <v>687</v>
      </c>
      <c r="C319" s="7">
        <v>45745</v>
      </c>
      <c r="D319" t="s">
        <v>2255</v>
      </c>
      <c r="E319">
        <v>69</v>
      </c>
      <c r="F319">
        <v>18330.34</v>
      </c>
      <c r="G319" t="s">
        <v>2256</v>
      </c>
    </row>
    <row r="320" spans="1:7" x14ac:dyDescent="0.3">
      <c r="A320" t="s">
        <v>2577</v>
      </c>
      <c r="B320" t="s">
        <v>624</v>
      </c>
      <c r="C320" s="7">
        <v>45661</v>
      </c>
      <c r="D320" t="s">
        <v>2259</v>
      </c>
      <c r="E320">
        <v>98</v>
      </c>
      <c r="F320">
        <v>16590.16</v>
      </c>
      <c r="G320" t="s">
        <v>74</v>
      </c>
    </row>
    <row r="321" spans="1:7" x14ac:dyDescent="0.3">
      <c r="A321" t="s">
        <v>2578</v>
      </c>
      <c r="B321" t="s">
        <v>566</v>
      </c>
      <c r="C321" s="7">
        <v>45986</v>
      </c>
      <c r="D321" t="s">
        <v>2255</v>
      </c>
      <c r="E321">
        <v>16</v>
      </c>
      <c r="F321">
        <v>17588.509999999998</v>
      </c>
      <c r="G321" t="s">
        <v>63</v>
      </c>
    </row>
    <row r="322" spans="1:7" x14ac:dyDescent="0.3">
      <c r="A322" t="s">
        <v>2579</v>
      </c>
      <c r="B322" t="s">
        <v>798</v>
      </c>
      <c r="C322" s="7">
        <v>45933</v>
      </c>
      <c r="D322" t="s">
        <v>2255</v>
      </c>
      <c r="E322">
        <v>2</v>
      </c>
      <c r="F322">
        <v>8907.4500000000007</v>
      </c>
      <c r="G322" t="s">
        <v>71</v>
      </c>
    </row>
    <row r="323" spans="1:7" x14ac:dyDescent="0.3">
      <c r="A323" t="s">
        <v>2580</v>
      </c>
      <c r="B323" t="s">
        <v>949</v>
      </c>
      <c r="C323" s="7">
        <v>45468</v>
      </c>
      <c r="D323" t="s">
        <v>2267</v>
      </c>
      <c r="E323">
        <v>19</v>
      </c>
      <c r="F323">
        <v>3949.9</v>
      </c>
      <c r="G323" t="s">
        <v>63</v>
      </c>
    </row>
    <row r="324" spans="1:7" x14ac:dyDescent="0.3">
      <c r="A324" t="s">
        <v>2581</v>
      </c>
      <c r="B324" t="s">
        <v>379</v>
      </c>
      <c r="C324" s="7">
        <v>45457</v>
      </c>
      <c r="D324" t="s">
        <v>2267</v>
      </c>
      <c r="E324">
        <v>95</v>
      </c>
      <c r="F324">
        <v>13207.07</v>
      </c>
      <c r="G324" t="s">
        <v>2256</v>
      </c>
    </row>
    <row r="325" spans="1:7" x14ac:dyDescent="0.3">
      <c r="A325" t="s">
        <v>2582</v>
      </c>
      <c r="B325" t="s">
        <v>387</v>
      </c>
      <c r="C325" s="7">
        <v>45980</v>
      </c>
      <c r="D325" t="s">
        <v>2259</v>
      </c>
      <c r="E325">
        <v>120</v>
      </c>
      <c r="F325">
        <v>2494.16</v>
      </c>
      <c r="G325" t="s">
        <v>2256</v>
      </c>
    </row>
    <row r="326" spans="1:7" x14ac:dyDescent="0.3">
      <c r="A326" t="s">
        <v>2583</v>
      </c>
      <c r="B326" t="s">
        <v>779</v>
      </c>
      <c r="C326" s="7">
        <v>45524</v>
      </c>
      <c r="D326" t="s">
        <v>2259</v>
      </c>
      <c r="E326">
        <v>68</v>
      </c>
      <c r="F326">
        <v>17108.419999999998</v>
      </c>
      <c r="G326" t="s">
        <v>74</v>
      </c>
    </row>
    <row r="327" spans="1:7" x14ac:dyDescent="0.3">
      <c r="A327" t="s">
        <v>2584</v>
      </c>
      <c r="B327" t="s">
        <v>635</v>
      </c>
      <c r="C327" s="7">
        <v>45430</v>
      </c>
      <c r="D327" t="s">
        <v>2267</v>
      </c>
      <c r="E327">
        <v>20</v>
      </c>
      <c r="F327">
        <v>3313.39</v>
      </c>
      <c r="G327" t="s">
        <v>63</v>
      </c>
    </row>
    <row r="328" spans="1:7" x14ac:dyDescent="0.3">
      <c r="A328" t="s">
        <v>2585</v>
      </c>
      <c r="B328" t="s">
        <v>601</v>
      </c>
      <c r="C328" s="7">
        <v>45468</v>
      </c>
      <c r="D328" t="s">
        <v>2255</v>
      </c>
      <c r="E328">
        <v>98</v>
      </c>
      <c r="F328">
        <v>5241.62</v>
      </c>
      <c r="G328" t="s">
        <v>71</v>
      </c>
    </row>
    <row r="329" spans="1:7" x14ac:dyDescent="0.3">
      <c r="A329" t="s">
        <v>2586</v>
      </c>
      <c r="B329" t="s">
        <v>204</v>
      </c>
      <c r="C329" s="7">
        <v>46012</v>
      </c>
      <c r="D329" t="s">
        <v>2267</v>
      </c>
      <c r="E329">
        <v>62</v>
      </c>
      <c r="F329">
        <v>13468.06</v>
      </c>
      <c r="G329" t="s">
        <v>2256</v>
      </c>
    </row>
    <row r="330" spans="1:7" x14ac:dyDescent="0.3">
      <c r="A330" t="s">
        <v>2587</v>
      </c>
      <c r="B330" t="s">
        <v>172</v>
      </c>
      <c r="C330" s="7">
        <v>45837</v>
      </c>
      <c r="D330" t="s">
        <v>2255</v>
      </c>
      <c r="E330">
        <v>11</v>
      </c>
      <c r="F330">
        <v>18166.669999999998</v>
      </c>
      <c r="G330" t="s">
        <v>63</v>
      </c>
    </row>
    <row r="331" spans="1:7" x14ac:dyDescent="0.3">
      <c r="A331" t="s">
        <v>2588</v>
      </c>
      <c r="B331" t="s">
        <v>365</v>
      </c>
      <c r="C331" s="7">
        <v>45747</v>
      </c>
      <c r="D331" t="s">
        <v>2255</v>
      </c>
      <c r="E331">
        <v>9</v>
      </c>
      <c r="F331">
        <v>7999.61</v>
      </c>
      <c r="G331" t="s">
        <v>74</v>
      </c>
    </row>
    <row r="332" spans="1:7" x14ac:dyDescent="0.3">
      <c r="A332" t="s">
        <v>2589</v>
      </c>
      <c r="B332" t="s">
        <v>848</v>
      </c>
      <c r="C332" s="7">
        <v>45808</v>
      </c>
      <c r="D332" t="s">
        <v>2255</v>
      </c>
      <c r="E332">
        <v>18</v>
      </c>
      <c r="F332">
        <v>8086.38</v>
      </c>
      <c r="G332" t="s">
        <v>74</v>
      </c>
    </row>
    <row r="333" spans="1:7" x14ac:dyDescent="0.3">
      <c r="A333" t="s">
        <v>2590</v>
      </c>
      <c r="B333" t="s">
        <v>265</v>
      </c>
      <c r="C333" s="7">
        <v>45972</v>
      </c>
      <c r="D333" t="s">
        <v>2261</v>
      </c>
      <c r="E333">
        <v>46</v>
      </c>
      <c r="F333">
        <v>9890.73</v>
      </c>
      <c r="G333" t="s">
        <v>71</v>
      </c>
    </row>
    <row r="334" spans="1:7" x14ac:dyDescent="0.3">
      <c r="A334" t="s">
        <v>2591</v>
      </c>
      <c r="B334" t="s">
        <v>27</v>
      </c>
      <c r="C334" s="7">
        <v>45645</v>
      </c>
      <c r="D334" t="s">
        <v>2259</v>
      </c>
      <c r="E334">
        <v>61</v>
      </c>
      <c r="F334">
        <v>11445.67</v>
      </c>
      <c r="G334" t="s">
        <v>63</v>
      </c>
    </row>
    <row r="335" spans="1:7" x14ac:dyDescent="0.3">
      <c r="A335" t="s">
        <v>2592</v>
      </c>
      <c r="B335" t="s">
        <v>810</v>
      </c>
      <c r="C335" s="7">
        <v>45922</v>
      </c>
      <c r="D335" t="s">
        <v>2259</v>
      </c>
      <c r="E335">
        <v>82</v>
      </c>
      <c r="F335">
        <v>7808.04</v>
      </c>
      <c r="G335" t="s">
        <v>63</v>
      </c>
    </row>
    <row r="336" spans="1:7" x14ac:dyDescent="0.3">
      <c r="A336" t="s">
        <v>2593</v>
      </c>
      <c r="B336" t="s">
        <v>402</v>
      </c>
      <c r="C336" s="7">
        <v>45564</v>
      </c>
      <c r="D336" t="s">
        <v>2255</v>
      </c>
      <c r="E336">
        <v>64</v>
      </c>
      <c r="F336">
        <v>13884.2</v>
      </c>
      <c r="G336" t="s">
        <v>2256</v>
      </c>
    </row>
    <row r="337" spans="1:7" x14ac:dyDescent="0.3">
      <c r="A337" t="s">
        <v>2594</v>
      </c>
      <c r="B337" t="s">
        <v>856</v>
      </c>
      <c r="C337" s="7">
        <v>45978</v>
      </c>
      <c r="D337" t="s">
        <v>2261</v>
      </c>
      <c r="E337">
        <v>40</v>
      </c>
      <c r="F337">
        <v>7917.62</v>
      </c>
      <c r="G337" t="s">
        <v>63</v>
      </c>
    </row>
    <row r="338" spans="1:7" x14ac:dyDescent="0.3">
      <c r="A338" t="s">
        <v>2595</v>
      </c>
      <c r="B338" t="s">
        <v>699</v>
      </c>
      <c r="C338" s="7">
        <v>45709</v>
      </c>
      <c r="D338" t="s">
        <v>2255</v>
      </c>
      <c r="E338">
        <v>12</v>
      </c>
      <c r="F338">
        <v>6153.46</v>
      </c>
      <c r="G338" t="s">
        <v>2256</v>
      </c>
    </row>
    <row r="339" spans="1:7" x14ac:dyDescent="0.3">
      <c r="A339" t="s">
        <v>2596</v>
      </c>
      <c r="B339" t="s">
        <v>124</v>
      </c>
      <c r="C339" s="7">
        <v>45484</v>
      </c>
      <c r="D339" t="s">
        <v>2259</v>
      </c>
      <c r="E339">
        <v>84</v>
      </c>
      <c r="F339">
        <v>4138.07</v>
      </c>
      <c r="G339" t="s">
        <v>71</v>
      </c>
    </row>
    <row r="340" spans="1:7" x14ac:dyDescent="0.3">
      <c r="A340" t="s">
        <v>2597</v>
      </c>
      <c r="B340" t="s">
        <v>798</v>
      </c>
      <c r="C340" s="7">
        <v>45823</v>
      </c>
      <c r="D340" t="s">
        <v>2261</v>
      </c>
      <c r="E340">
        <v>49</v>
      </c>
      <c r="F340">
        <v>12005.63</v>
      </c>
      <c r="G340" t="s">
        <v>74</v>
      </c>
    </row>
    <row r="341" spans="1:7" x14ac:dyDescent="0.3">
      <c r="A341" t="s">
        <v>2598</v>
      </c>
      <c r="B341" t="s">
        <v>268</v>
      </c>
      <c r="C341" s="7">
        <v>45382</v>
      </c>
      <c r="D341" t="s">
        <v>2255</v>
      </c>
      <c r="E341">
        <v>76</v>
      </c>
      <c r="F341">
        <v>1143.06</v>
      </c>
      <c r="G341" t="s">
        <v>74</v>
      </c>
    </row>
    <row r="342" spans="1:7" x14ac:dyDescent="0.3">
      <c r="A342" t="s">
        <v>2599</v>
      </c>
      <c r="B342" t="s">
        <v>698</v>
      </c>
      <c r="C342" s="7">
        <v>45836</v>
      </c>
      <c r="D342" t="s">
        <v>2261</v>
      </c>
      <c r="E342">
        <v>43</v>
      </c>
      <c r="F342">
        <v>14010.5</v>
      </c>
      <c r="G342" t="s">
        <v>63</v>
      </c>
    </row>
    <row r="343" spans="1:7" x14ac:dyDescent="0.3">
      <c r="A343" t="s">
        <v>2600</v>
      </c>
      <c r="B343" t="s">
        <v>172</v>
      </c>
      <c r="C343" s="7">
        <v>45660</v>
      </c>
      <c r="D343" t="s">
        <v>2259</v>
      </c>
      <c r="E343">
        <v>54</v>
      </c>
      <c r="F343">
        <v>8551.48</v>
      </c>
      <c r="G343" t="s">
        <v>74</v>
      </c>
    </row>
    <row r="344" spans="1:7" x14ac:dyDescent="0.3">
      <c r="A344" t="s">
        <v>2601</v>
      </c>
      <c r="B344" t="s">
        <v>562</v>
      </c>
      <c r="C344" s="7">
        <v>45681</v>
      </c>
      <c r="D344" t="s">
        <v>2261</v>
      </c>
      <c r="E344">
        <v>87</v>
      </c>
      <c r="F344">
        <v>15617.12</v>
      </c>
      <c r="G344" t="s">
        <v>74</v>
      </c>
    </row>
    <row r="345" spans="1:7" x14ac:dyDescent="0.3">
      <c r="A345" t="s">
        <v>2602</v>
      </c>
      <c r="B345" t="s">
        <v>484</v>
      </c>
      <c r="C345" s="7">
        <v>45938</v>
      </c>
      <c r="D345" t="s">
        <v>2255</v>
      </c>
      <c r="E345">
        <v>96</v>
      </c>
      <c r="F345">
        <v>6237.65</v>
      </c>
      <c r="G345" t="s">
        <v>2256</v>
      </c>
    </row>
    <row r="346" spans="1:7" x14ac:dyDescent="0.3">
      <c r="A346" t="s">
        <v>2603</v>
      </c>
      <c r="B346" t="s">
        <v>2</v>
      </c>
      <c r="C346" s="7">
        <v>45815</v>
      </c>
      <c r="D346" t="s">
        <v>2267</v>
      </c>
      <c r="E346">
        <v>83</v>
      </c>
      <c r="F346">
        <v>672.75</v>
      </c>
      <c r="G346" t="s">
        <v>71</v>
      </c>
    </row>
    <row r="347" spans="1:7" x14ac:dyDescent="0.3">
      <c r="A347" t="s">
        <v>2604</v>
      </c>
      <c r="B347" t="s">
        <v>866</v>
      </c>
      <c r="C347" s="7">
        <v>46008</v>
      </c>
      <c r="D347" t="s">
        <v>2255</v>
      </c>
      <c r="E347">
        <v>66</v>
      </c>
      <c r="F347">
        <v>9955.27</v>
      </c>
      <c r="G347" t="s">
        <v>2256</v>
      </c>
    </row>
    <row r="348" spans="1:7" x14ac:dyDescent="0.3">
      <c r="A348" t="s">
        <v>2605</v>
      </c>
      <c r="B348" t="s">
        <v>813</v>
      </c>
      <c r="C348" s="7">
        <v>45693</v>
      </c>
      <c r="D348" t="s">
        <v>2261</v>
      </c>
      <c r="E348">
        <v>24</v>
      </c>
      <c r="F348">
        <v>8559.77</v>
      </c>
      <c r="G348" t="s">
        <v>2256</v>
      </c>
    </row>
    <row r="349" spans="1:7" x14ac:dyDescent="0.3">
      <c r="A349" t="s">
        <v>2606</v>
      </c>
      <c r="B349" t="s">
        <v>962</v>
      </c>
      <c r="C349" s="7">
        <v>45696</v>
      </c>
      <c r="D349" t="s">
        <v>2259</v>
      </c>
      <c r="E349">
        <v>105</v>
      </c>
      <c r="F349">
        <v>6564.81</v>
      </c>
      <c r="G349" t="s">
        <v>74</v>
      </c>
    </row>
    <row r="350" spans="1:7" x14ac:dyDescent="0.3">
      <c r="A350" t="s">
        <v>2607</v>
      </c>
      <c r="B350" t="s">
        <v>317</v>
      </c>
      <c r="C350" s="7">
        <v>45691</v>
      </c>
      <c r="D350" t="s">
        <v>2261</v>
      </c>
      <c r="E350">
        <v>42</v>
      </c>
      <c r="F350">
        <v>6893.83</v>
      </c>
      <c r="G350" t="s">
        <v>2256</v>
      </c>
    </row>
    <row r="351" spans="1:7" x14ac:dyDescent="0.3">
      <c r="A351" t="s">
        <v>2608</v>
      </c>
      <c r="B351" t="s">
        <v>876</v>
      </c>
      <c r="C351" s="7">
        <v>45953</v>
      </c>
      <c r="D351" t="s">
        <v>2267</v>
      </c>
      <c r="E351">
        <v>78</v>
      </c>
      <c r="F351">
        <v>16735.32</v>
      </c>
      <c r="G351" t="s">
        <v>2256</v>
      </c>
    </row>
    <row r="352" spans="1:7" x14ac:dyDescent="0.3">
      <c r="A352" t="s">
        <v>2609</v>
      </c>
      <c r="B352" t="s">
        <v>529</v>
      </c>
      <c r="C352" s="7">
        <v>45501</v>
      </c>
      <c r="D352" t="s">
        <v>2267</v>
      </c>
      <c r="E352">
        <v>95</v>
      </c>
      <c r="F352">
        <v>10690.8</v>
      </c>
      <c r="G352" t="s">
        <v>63</v>
      </c>
    </row>
    <row r="353" spans="1:7" x14ac:dyDescent="0.3">
      <c r="A353" t="s">
        <v>2610</v>
      </c>
      <c r="B353" t="s">
        <v>968</v>
      </c>
      <c r="C353" s="7">
        <v>45642</v>
      </c>
      <c r="D353" t="s">
        <v>2255</v>
      </c>
      <c r="E353">
        <v>99</v>
      </c>
      <c r="F353">
        <v>8872.25</v>
      </c>
      <c r="G353" t="s">
        <v>2256</v>
      </c>
    </row>
    <row r="354" spans="1:7" x14ac:dyDescent="0.3">
      <c r="A354" t="s">
        <v>2611</v>
      </c>
      <c r="B354" t="s">
        <v>22</v>
      </c>
      <c r="C354" s="7">
        <v>45876</v>
      </c>
      <c r="D354" t="s">
        <v>2267</v>
      </c>
      <c r="E354">
        <v>103</v>
      </c>
      <c r="F354">
        <v>1946.97</v>
      </c>
      <c r="G354" t="s">
        <v>2256</v>
      </c>
    </row>
    <row r="355" spans="1:7" x14ac:dyDescent="0.3">
      <c r="A355" t="s">
        <v>2612</v>
      </c>
      <c r="B355" t="s">
        <v>985</v>
      </c>
      <c r="C355" s="7">
        <v>45915</v>
      </c>
      <c r="D355" t="s">
        <v>2259</v>
      </c>
      <c r="E355">
        <v>6</v>
      </c>
      <c r="F355">
        <v>1216.04</v>
      </c>
      <c r="G355" t="s">
        <v>63</v>
      </c>
    </row>
    <row r="356" spans="1:7" x14ac:dyDescent="0.3">
      <c r="A356" t="s">
        <v>2613</v>
      </c>
      <c r="B356" t="s">
        <v>217</v>
      </c>
      <c r="C356" s="7">
        <v>45931</v>
      </c>
      <c r="D356" t="s">
        <v>2261</v>
      </c>
      <c r="E356">
        <v>34</v>
      </c>
      <c r="F356">
        <v>5468.42</v>
      </c>
      <c r="G356" t="s">
        <v>74</v>
      </c>
    </row>
    <row r="357" spans="1:7" x14ac:dyDescent="0.3">
      <c r="A357" t="s">
        <v>2614</v>
      </c>
      <c r="B357" t="s">
        <v>224</v>
      </c>
      <c r="C357" s="7">
        <v>45741</v>
      </c>
      <c r="D357" t="s">
        <v>2261</v>
      </c>
      <c r="E357">
        <v>3</v>
      </c>
      <c r="F357">
        <v>2557.4699999999998</v>
      </c>
      <c r="G357" t="s">
        <v>74</v>
      </c>
    </row>
    <row r="358" spans="1:7" x14ac:dyDescent="0.3">
      <c r="A358" t="s">
        <v>2615</v>
      </c>
      <c r="B358" t="s">
        <v>611</v>
      </c>
      <c r="C358" s="7">
        <v>45662</v>
      </c>
      <c r="D358" t="s">
        <v>2259</v>
      </c>
      <c r="E358">
        <v>107</v>
      </c>
      <c r="F358">
        <v>12548.72</v>
      </c>
      <c r="G358" t="s">
        <v>2256</v>
      </c>
    </row>
    <row r="359" spans="1:7" x14ac:dyDescent="0.3">
      <c r="A359" t="s">
        <v>2616</v>
      </c>
      <c r="B359" t="s">
        <v>671</v>
      </c>
      <c r="C359" s="7">
        <v>45393</v>
      </c>
      <c r="D359" t="s">
        <v>2259</v>
      </c>
      <c r="E359">
        <v>85</v>
      </c>
      <c r="F359">
        <v>12898.25</v>
      </c>
      <c r="G359" t="s">
        <v>63</v>
      </c>
    </row>
    <row r="360" spans="1:7" x14ac:dyDescent="0.3">
      <c r="A360" t="s">
        <v>2617</v>
      </c>
      <c r="B360" t="s">
        <v>499</v>
      </c>
      <c r="C360" s="7">
        <v>45589</v>
      </c>
      <c r="D360" t="s">
        <v>2261</v>
      </c>
      <c r="E360">
        <v>53</v>
      </c>
      <c r="F360">
        <v>12134.09</v>
      </c>
      <c r="G360" t="s">
        <v>71</v>
      </c>
    </row>
    <row r="361" spans="1:7" x14ac:dyDescent="0.3">
      <c r="A361" t="s">
        <v>2618</v>
      </c>
      <c r="B361" t="s">
        <v>595</v>
      </c>
      <c r="C361" s="7">
        <v>45476</v>
      </c>
      <c r="D361" t="s">
        <v>2255</v>
      </c>
      <c r="E361">
        <v>2</v>
      </c>
      <c r="F361">
        <v>15670.93</v>
      </c>
      <c r="G361" t="s">
        <v>2256</v>
      </c>
    </row>
    <row r="362" spans="1:7" x14ac:dyDescent="0.3">
      <c r="A362" t="s">
        <v>2619</v>
      </c>
      <c r="B362" t="s">
        <v>260</v>
      </c>
      <c r="C362" s="7">
        <v>45563</v>
      </c>
      <c r="D362" t="s">
        <v>2261</v>
      </c>
      <c r="E362">
        <v>116</v>
      </c>
      <c r="F362">
        <v>7759.4</v>
      </c>
      <c r="G362" t="s">
        <v>2256</v>
      </c>
    </row>
    <row r="363" spans="1:7" x14ac:dyDescent="0.3">
      <c r="A363" t="s">
        <v>2620</v>
      </c>
      <c r="B363" t="s">
        <v>484</v>
      </c>
      <c r="C363" s="7">
        <v>46022</v>
      </c>
      <c r="D363" t="s">
        <v>2259</v>
      </c>
      <c r="E363">
        <v>47</v>
      </c>
      <c r="F363">
        <v>4860.4399999999996</v>
      </c>
      <c r="G363" t="s">
        <v>63</v>
      </c>
    </row>
    <row r="364" spans="1:7" x14ac:dyDescent="0.3">
      <c r="A364" t="s">
        <v>2621</v>
      </c>
      <c r="B364" t="s">
        <v>910</v>
      </c>
      <c r="C364" s="7">
        <v>45986</v>
      </c>
      <c r="D364" t="s">
        <v>2259</v>
      </c>
      <c r="E364">
        <v>114</v>
      </c>
      <c r="F364">
        <v>15659.7</v>
      </c>
      <c r="G364" t="s">
        <v>71</v>
      </c>
    </row>
    <row r="365" spans="1:7" x14ac:dyDescent="0.3">
      <c r="A365" t="s">
        <v>2622</v>
      </c>
      <c r="B365" t="s">
        <v>487</v>
      </c>
      <c r="C365" s="7">
        <v>45704</v>
      </c>
      <c r="D365" t="s">
        <v>2259</v>
      </c>
      <c r="E365">
        <v>101</v>
      </c>
      <c r="F365">
        <v>4244.74</v>
      </c>
      <c r="G365" t="s">
        <v>63</v>
      </c>
    </row>
    <row r="366" spans="1:7" x14ac:dyDescent="0.3">
      <c r="A366" t="s">
        <v>2623</v>
      </c>
      <c r="B366" t="s">
        <v>116</v>
      </c>
      <c r="C366" s="7">
        <v>45711</v>
      </c>
      <c r="D366" t="s">
        <v>2267</v>
      </c>
      <c r="E366">
        <v>93</v>
      </c>
      <c r="F366">
        <v>1405.11</v>
      </c>
      <c r="G366" t="s">
        <v>2256</v>
      </c>
    </row>
    <row r="367" spans="1:7" x14ac:dyDescent="0.3">
      <c r="A367" t="s">
        <v>2624</v>
      </c>
      <c r="B367" t="s">
        <v>645</v>
      </c>
      <c r="C367" s="7">
        <v>45845</v>
      </c>
      <c r="D367" t="s">
        <v>2261</v>
      </c>
      <c r="E367">
        <v>85</v>
      </c>
      <c r="F367">
        <v>18801.599999999999</v>
      </c>
      <c r="G367" t="s">
        <v>63</v>
      </c>
    </row>
    <row r="368" spans="1:7" x14ac:dyDescent="0.3">
      <c r="A368" t="s">
        <v>2625</v>
      </c>
      <c r="B368" t="s">
        <v>1022</v>
      </c>
      <c r="C368" s="7">
        <v>45657</v>
      </c>
      <c r="D368" t="s">
        <v>2259</v>
      </c>
      <c r="E368">
        <v>107</v>
      </c>
      <c r="F368">
        <v>9941.02</v>
      </c>
      <c r="G368" t="s">
        <v>2256</v>
      </c>
    </row>
    <row r="369" spans="1:7" x14ac:dyDescent="0.3">
      <c r="A369" t="s">
        <v>2626</v>
      </c>
      <c r="B369" t="s">
        <v>760</v>
      </c>
      <c r="C369" s="7">
        <v>45749</v>
      </c>
      <c r="D369" t="s">
        <v>2261</v>
      </c>
      <c r="E369">
        <v>20</v>
      </c>
      <c r="F369">
        <v>683.04</v>
      </c>
      <c r="G369" t="s">
        <v>2256</v>
      </c>
    </row>
    <row r="370" spans="1:7" x14ac:dyDescent="0.3">
      <c r="A370" t="s">
        <v>2627</v>
      </c>
      <c r="B370" t="s">
        <v>590</v>
      </c>
      <c r="C370" s="7">
        <v>45942</v>
      </c>
      <c r="D370" t="s">
        <v>2255</v>
      </c>
      <c r="E370">
        <v>119</v>
      </c>
      <c r="F370">
        <v>10207.06</v>
      </c>
      <c r="G370" t="s">
        <v>63</v>
      </c>
    </row>
    <row r="371" spans="1:7" x14ac:dyDescent="0.3">
      <c r="A371" t="s">
        <v>2628</v>
      </c>
      <c r="B371" t="s">
        <v>825</v>
      </c>
      <c r="C371" s="7">
        <v>45860</v>
      </c>
      <c r="D371" t="s">
        <v>2267</v>
      </c>
      <c r="E371">
        <v>111</v>
      </c>
      <c r="F371">
        <v>10757.88</v>
      </c>
      <c r="G371" t="s">
        <v>63</v>
      </c>
    </row>
    <row r="372" spans="1:7" x14ac:dyDescent="0.3">
      <c r="A372" t="s">
        <v>2629</v>
      </c>
      <c r="B372" t="s">
        <v>910</v>
      </c>
      <c r="C372" s="7">
        <v>45964</v>
      </c>
      <c r="D372" t="s">
        <v>2267</v>
      </c>
      <c r="E372">
        <v>103</v>
      </c>
      <c r="F372">
        <v>1285.51</v>
      </c>
      <c r="G372" t="s">
        <v>71</v>
      </c>
    </row>
    <row r="373" spans="1:7" x14ac:dyDescent="0.3">
      <c r="A373" t="s">
        <v>2630</v>
      </c>
      <c r="B373" t="s">
        <v>25</v>
      </c>
      <c r="C373" s="7">
        <v>45644</v>
      </c>
      <c r="D373" t="s">
        <v>2259</v>
      </c>
      <c r="E373">
        <v>60</v>
      </c>
      <c r="F373">
        <v>3387.18</v>
      </c>
      <c r="G373" t="s">
        <v>71</v>
      </c>
    </row>
    <row r="374" spans="1:7" x14ac:dyDescent="0.3">
      <c r="A374" t="s">
        <v>2631</v>
      </c>
      <c r="B374" t="s">
        <v>175</v>
      </c>
      <c r="C374" s="7">
        <v>45798</v>
      </c>
      <c r="D374" t="s">
        <v>2261</v>
      </c>
      <c r="E374">
        <v>118</v>
      </c>
      <c r="F374">
        <v>19717.650000000001</v>
      </c>
      <c r="G374" t="s">
        <v>74</v>
      </c>
    </row>
    <row r="375" spans="1:7" x14ac:dyDescent="0.3">
      <c r="A375" t="s">
        <v>2632</v>
      </c>
      <c r="B375" t="s">
        <v>916</v>
      </c>
      <c r="C375" s="7">
        <v>45792</v>
      </c>
      <c r="D375" t="s">
        <v>2259</v>
      </c>
      <c r="E375">
        <v>30</v>
      </c>
      <c r="F375">
        <v>18302.099999999999</v>
      </c>
      <c r="G375" t="s">
        <v>2256</v>
      </c>
    </row>
    <row r="376" spans="1:7" x14ac:dyDescent="0.3">
      <c r="A376" t="s">
        <v>2633</v>
      </c>
      <c r="B376" t="s">
        <v>699</v>
      </c>
      <c r="C376" s="7">
        <v>45852</v>
      </c>
      <c r="D376" t="s">
        <v>2267</v>
      </c>
      <c r="E376">
        <v>86</v>
      </c>
      <c r="F376">
        <v>12614.83</v>
      </c>
      <c r="G376" t="s">
        <v>71</v>
      </c>
    </row>
    <row r="377" spans="1:7" x14ac:dyDescent="0.3">
      <c r="A377" t="s">
        <v>2634</v>
      </c>
      <c r="B377" t="s">
        <v>614</v>
      </c>
      <c r="C377" s="7">
        <v>45600</v>
      </c>
      <c r="D377" t="s">
        <v>2259</v>
      </c>
      <c r="E377">
        <v>18</v>
      </c>
      <c r="F377">
        <v>6768.14</v>
      </c>
      <c r="G377" t="s">
        <v>63</v>
      </c>
    </row>
    <row r="378" spans="1:7" x14ac:dyDescent="0.3">
      <c r="A378" t="s">
        <v>2635</v>
      </c>
      <c r="B378" t="s">
        <v>381</v>
      </c>
      <c r="C378" s="7">
        <v>45527</v>
      </c>
      <c r="D378" t="s">
        <v>2259</v>
      </c>
      <c r="E378">
        <v>77</v>
      </c>
      <c r="F378">
        <v>5369.98</v>
      </c>
      <c r="G378" t="s">
        <v>74</v>
      </c>
    </row>
    <row r="379" spans="1:7" x14ac:dyDescent="0.3">
      <c r="A379" t="s">
        <v>2636</v>
      </c>
      <c r="B379" t="s">
        <v>490</v>
      </c>
      <c r="C379" s="7">
        <v>45862</v>
      </c>
      <c r="D379" t="s">
        <v>2261</v>
      </c>
      <c r="E379">
        <v>11</v>
      </c>
      <c r="F379">
        <v>15970</v>
      </c>
      <c r="G379" t="s">
        <v>71</v>
      </c>
    </row>
    <row r="380" spans="1:7" x14ac:dyDescent="0.3">
      <c r="A380" t="s">
        <v>2637</v>
      </c>
      <c r="B380" t="s">
        <v>521</v>
      </c>
      <c r="C380" s="7">
        <v>45920</v>
      </c>
      <c r="D380" t="s">
        <v>2267</v>
      </c>
      <c r="E380">
        <v>20</v>
      </c>
      <c r="F380">
        <v>11072.08</v>
      </c>
      <c r="G380" t="s">
        <v>2256</v>
      </c>
    </row>
    <row r="381" spans="1:7" x14ac:dyDescent="0.3">
      <c r="A381" t="s">
        <v>2638</v>
      </c>
      <c r="B381" t="s">
        <v>601</v>
      </c>
      <c r="C381" s="7">
        <v>45721</v>
      </c>
      <c r="D381" t="s">
        <v>2255</v>
      </c>
      <c r="E381">
        <v>68</v>
      </c>
      <c r="F381">
        <v>7333.2</v>
      </c>
      <c r="G381" t="s">
        <v>74</v>
      </c>
    </row>
    <row r="382" spans="1:7" x14ac:dyDescent="0.3">
      <c r="A382" t="s">
        <v>2639</v>
      </c>
      <c r="B382" t="s">
        <v>558</v>
      </c>
      <c r="C382" s="7">
        <v>45489</v>
      </c>
      <c r="D382" t="s">
        <v>2255</v>
      </c>
      <c r="E382">
        <v>62</v>
      </c>
      <c r="F382">
        <v>13344.69</v>
      </c>
      <c r="G382" t="s">
        <v>63</v>
      </c>
    </row>
    <row r="383" spans="1:7" x14ac:dyDescent="0.3">
      <c r="A383" t="s">
        <v>2640</v>
      </c>
      <c r="B383" t="s">
        <v>628</v>
      </c>
      <c r="C383" s="7">
        <v>45557</v>
      </c>
      <c r="D383" t="s">
        <v>2255</v>
      </c>
      <c r="E383">
        <v>54</v>
      </c>
      <c r="F383">
        <v>9166.99</v>
      </c>
      <c r="G383" t="s">
        <v>74</v>
      </c>
    </row>
    <row r="384" spans="1:7" x14ac:dyDescent="0.3">
      <c r="A384" t="s">
        <v>2641</v>
      </c>
      <c r="B384" t="s">
        <v>683</v>
      </c>
      <c r="C384" s="7">
        <v>45522</v>
      </c>
      <c r="D384" t="s">
        <v>2261</v>
      </c>
      <c r="E384">
        <v>109</v>
      </c>
      <c r="F384">
        <v>1828.69</v>
      </c>
      <c r="G384" t="s">
        <v>63</v>
      </c>
    </row>
    <row r="385" spans="1:7" x14ac:dyDescent="0.3">
      <c r="A385" t="s">
        <v>2642</v>
      </c>
      <c r="B385" t="s">
        <v>97</v>
      </c>
      <c r="C385" s="7">
        <v>45627</v>
      </c>
      <c r="D385" t="s">
        <v>2259</v>
      </c>
      <c r="E385">
        <v>33</v>
      </c>
      <c r="F385">
        <v>17671.11</v>
      </c>
      <c r="G385" t="s">
        <v>74</v>
      </c>
    </row>
    <row r="386" spans="1:7" x14ac:dyDescent="0.3">
      <c r="A386" t="s">
        <v>2643</v>
      </c>
      <c r="B386" t="s">
        <v>358</v>
      </c>
      <c r="C386" s="7">
        <v>45571</v>
      </c>
      <c r="D386" t="s">
        <v>2255</v>
      </c>
      <c r="E386">
        <v>66</v>
      </c>
      <c r="F386">
        <v>19516.57</v>
      </c>
      <c r="G386" t="s">
        <v>2256</v>
      </c>
    </row>
    <row r="387" spans="1:7" x14ac:dyDescent="0.3">
      <c r="A387" t="s">
        <v>2644</v>
      </c>
      <c r="B387" t="s">
        <v>760</v>
      </c>
      <c r="C387" s="7">
        <v>45955</v>
      </c>
      <c r="D387" t="s">
        <v>2255</v>
      </c>
      <c r="E387">
        <v>55</v>
      </c>
      <c r="F387">
        <v>11463.3</v>
      </c>
      <c r="G387" t="s">
        <v>71</v>
      </c>
    </row>
    <row r="388" spans="1:7" x14ac:dyDescent="0.3">
      <c r="A388" t="s">
        <v>2645</v>
      </c>
      <c r="B388" t="s">
        <v>0</v>
      </c>
      <c r="C388" s="7">
        <v>45501</v>
      </c>
      <c r="D388" t="s">
        <v>2261</v>
      </c>
      <c r="E388">
        <v>119</v>
      </c>
      <c r="F388">
        <v>12407.48</v>
      </c>
      <c r="G388" t="s">
        <v>63</v>
      </c>
    </row>
    <row r="389" spans="1:7" x14ac:dyDescent="0.3">
      <c r="A389" t="s">
        <v>2646</v>
      </c>
      <c r="B389" t="s">
        <v>562</v>
      </c>
      <c r="C389" s="7">
        <v>46002</v>
      </c>
      <c r="D389" t="s">
        <v>2255</v>
      </c>
      <c r="E389">
        <v>40</v>
      </c>
      <c r="F389">
        <v>6778.18</v>
      </c>
      <c r="G389" t="s">
        <v>63</v>
      </c>
    </row>
    <row r="390" spans="1:7" x14ac:dyDescent="0.3">
      <c r="A390" t="s">
        <v>2647</v>
      </c>
      <c r="B390" t="s">
        <v>22</v>
      </c>
      <c r="C390" s="7">
        <v>45668</v>
      </c>
      <c r="D390" t="s">
        <v>2259</v>
      </c>
      <c r="E390">
        <v>57</v>
      </c>
      <c r="F390">
        <v>4628.5200000000004</v>
      </c>
      <c r="G390" t="s">
        <v>71</v>
      </c>
    </row>
    <row r="391" spans="1:7" x14ac:dyDescent="0.3">
      <c r="A391" t="s">
        <v>2648</v>
      </c>
      <c r="B391" t="s">
        <v>714</v>
      </c>
      <c r="C391" s="7">
        <v>45625</v>
      </c>
      <c r="D391" t="s">
        <v>2255</v>
      </c>
      <c r="E391">
        <v>40</v>
      </c>
      <c r="F391">
        <v>10091.43</v>
      </c>
      <c r="G391" t="s">
        <v>71</v>
      </c>
    </row>
    <row r="392" spans="1:7" x14ac:dyDescent="0.3">
      <c r="A392" t="s">
        <v>2649</v>
      </c>
      <c r="B392" t="s">
        <v>508</v>
      </c>
      <c r="C392" s="7">
        <v>45659</v>
      </c>
      <c r="D392" t="s">
        <v>2261</v>
      </c>
      <c r="E392">
        <v>48</v>
      </c>
      <c r="F392">
        <v>12195.35</v>
      </c>
      <c r="G392" t="s">
        <v>74</v>
      </c>
    </row>
    <row r="393" spans="1:7" x14ac:dyDescent="0.3">
      <c r="A393" t="s">
        <v>2650</v>
      </c>
      <c r="B393" t="s">
        <v>521</v>
      </c>
      <c r="C393" s="7">
        <v>45471</v>
      </c>
      <c r="D393" t="s">
        <v>2261</v>
      </c>
      <c r="E393">
        <v>71</v>
      </c>
      <c r="F393">
        <v>3596.51</v>
      </c>
      <c r="G393" t="s">
        <v>74</v>
      </c>
    </row>
    <row r="394" spans="1:7" x14ac:dyDescent="0.3">
      <c r="A394" t="s">
        <v>2651</v>
      </c>
      <c r="B394" t="s">
        <v>184</v>
      </c>
      <c r="C394" s="7">
        <v>45526</v>
      </c>
      <c r="D394" t="s">
        <v>2259</v>
      </c>
      <c r="E394">
        <v>47</v>
      </c>
      <c r="F394">
        <v>15365.46</v>
      </c>
      <c r="G394" t="s">
        <v>2256</v>
      </c>
    </row>
    <row r="395" spans="1:7" x14ac:dyDescent="0.3">
      <c r="A395" t="s">
        <v>2652</v>
      </c>
      <c r="B395" t="s">
        <v>22</v>
      </c>
      <c r="C395" s="7">
        <v>45607</v>
      </c>
      <c r="D395" t="s">
        <v>2267</v>
      </c>
      <c r="E395">
        <v>25</v>
      </c>
      <c r="F395">
        <v>17916.47</v>
      </c>
      <c r="G395" t="s">
        <v>74</v>
      </c>
    </row>
    <row r="396" spans="1:7" x14ac:dyDescent="0.3">
      <c r="A396" t="s">
        <v>2653</v>
      </c>
      <c r="B396" t="s">
        <v>365</v>
      </c>
      <c r="C396" s="7">
        <v>45777</v>
      </c>
      <c r="D396" t="s">
        <v>2259</v>
      </c>
      <c r="E396">
        <v>62</v>
      </c>
      <c r="F396">
        <v>2462.1799999999998</v>
      </c>
      <c r="G396" t="s">
        <v>71</v>
      </c>
    </row>
    <row r="397" spans="1:7" x14ac:dyDescent="0.3">
      <c r="A397" t="s">
        <v>2654</v>
      </c>
      <c r="B397" t="s">
        <v>776</v>
      </c>
      <c r="C397" s="7">
        <v>45455</v>
      </c>
      <c r="D397" t="s">
        <v>2255</v>
      </c>
      <c r="E397">
        <v>87</v>
      </c>
      <c r="F397">
        <v>18728.939999999999</v>
      </c>
      <c r="G397" t="s">
        <v>74</v>
      </c>
    </row>
    <row r="398" spans="1:7" x14ac:dyDescent="0.3">
      <c r="A398" t="s">
        <v>2655</v>
      </c>
      <c r="B398" t="s">
        <v>867</v>
      </c>
      <c r="C398" s="7">
        <v>45534</v>
      </c>
      <c r="D398" t="s">
        <v>2259</v>
      </c>
      <c r="E398">
        <v>28</v>
      </c>
      <c r="F398">
        <v>17158.939999999999</v>
      </c>
      <c r="G398" t="s">
        <v>71</v>
      </c>
    </row>
    <row r="399" spans="1:7" x14ac:dyDescent="0.3">
      <c r="A399" t="s">
        <v>2656</v>
      </c>
      <c r="B399" t="s">
        <v>535</v>
      </c>
      <c r="C399" s="7">
        <v>46002</v>
      </c>
      <c r="D399" t="s">
        <v>2255</v>
      </c>
      <c r="E399">
        <v>96</v>
      </c>
      <c r="F399">
        <v>1166.1500000000001</v>
      </c>
      <c r="G399" t="s">
        <v>2256</v>
      </c>
    </row>
    <row r="400" spans="1:7" x14ac:dyDescent="0.3">
      <c r="A400" t="s">
        <v>2657</v>
      </c>
      <c r="B400" t="s">
        <v>146</v>
      </c>
      <c r="C400" s="7">
        <v>45730</v>
      </c>
      <c r="D400" t="s">
        <v>2255</v>
      </c>
      <c r="E400">
        <v>76</v>
      </c>
      <c r="F400">
        <v>11043.9</v>
      </c>
      <c r="G400" t="s">
        <v>2256</v>
      </c>
    </row>
    <row r="401" spans="1:7" x14ac:dyDescent="0.3">
      <c r="A401" t="s">
        <v>2658</v>
      </c>
      <c r="B401" t="s">
        <v>916</v>
      </c>
      <c r="C401" s="7">
        <v>45677</v>
      </c>
      <c r="D401" t="s">
        <v>2259</v>
      </c>
      <c r="E401">
        <v>28</v>
      </c>
      <c r="F401">
        <v>13620.01</v>
      </c>
      <c r="G401" t="s">
        <v>2256</v>
      </c>
    </row>
    <row r="402" spans="1:7" x14ac:dyDescent="0.3">
      <c r="A402" t="s">
        <v>2659</v>
      </c>
      <c r="B402" t="s">
        <v>566</v>
      </c>
      <c r="C402" s="7">
        <v>45374</v>
      </c>
      <c r="D402" t="s">
        <v>2267</v>
      </c>
      <c r="E402">
        <v>18</v>
      </c>
      <c r="F402">
        <v>11341.11</v>
      </c>
      <c r="G402" t="s">
        <v>2256</v>
      </c>
    </row>
    <row r="403" spans="1:7" x14ac:dyDescent="0.3">
      <c r="A403" t="s">
        <v>2660</v>
      </c>
      <c r="B403" t="s">
        <v>1010</v>
      </c>
      <c r="C403" s="7">
        <v>45964</v>
      </c>
      <c r="D403" t="s">
        <v>2267</v>
      </c>
      <c r="E403">
        <v>45</v>
      </c>
      <c r="F403">
        <v>17023.810000000001</v>
      </c>
      <c r="G403" t="s">
        <v>71</v>
      </c>
    </row>
    <row r="404" spans="1:7" x14ac:dyDescent="0.3">
      <c r="A404" t="s">
        <v>2661</v>
      </c>
      <c r="B404" t="s">
        <v>609</v>
      </c>
      <c r="C404" s="7">
        <v>45644</v>
      </c>
      <c r="D404" t="s">
        <v>2267</v>
      </c>
      <c r="E404">
        <v>41</v>
      </c>
      <c r="F404">
        <v>1117.26</v>
      </c>
      <c r="G404" t="s">
        <v>74</v>
      </c>
    </row>
    <row r="405" spans="1:7" x14ac:dyDescent="0.3">
      <c r="A405" t="s">
        <v>2662</v>
      </c>
      <c r="B405" t="s">
        <v>701</v>
      </c>
      <c r="C405" s="7">
        <v>45905</v>
      </c>
      <c r="D405" t="s">
        <v>2267</v>
      </c>
      <c r="E405">
        <v>65</v>
      </c>
      <c r="F405">
        <v>8055.32</v>
      </c>
      <c r="G405" t="s">
        <v>2256</v>
      </c>
    </row>
    <row r="406" spans="1:7" x14ac:dyDescent="0.3">
      <c r="A406" t="s">
        <v>2663</v>
      </c>
      <c r="B406" t="s">
        <v>1012</v>
      </c>
      <c r="C406" s="7">
        <v>45451</v>
      </c>
      <c r="D406" t="s">
        <v>2267</v>
      </c>
      <c r="E406">
        <v>2</v>
      </c>
      <c r="F406">
        <v>12131.28</v>
      </c>
      <c r="G406" t="s">
        <v>74</v>
      </c>
    </row>
    <row r="407" spans="1:7" x14ac:dyDescent="0.3">
      <c r="A407" t="s">
        <v>2664</v>
      </c>
      <c r="B407" t="s">
        <v>102</v>
      </c>
      <c r="C407" s="7">
        <v>45799</v>
      </c>
      <c r="D407" t="s">
        <v>2261</v>
      </c>
      <c r="E407">
        <v>101</v>
      </c>
      <c r="F407">
        <v>8536.89</v>
      </c>
      <c r="G407" t="s">
        <v>71</v>
      </c>
    </row>
    <row r="408" spans="1:7" x14ac:dyDescent="0.3">
      <c r="A408" t="s">
        <v>2665</v>
      </c>
      <c r="B408" t="s">
        <v>217</v>
      </c>
      <c r="C408" s="7">
        <v>45892</v>
      </c>
      <c r="D408" t="s">
        <v>2261</v>
      </c>
      <c r="E408">
        <v>58</v>
      </c>
      <c r="F408">
        <v>3533.21</v>
      </c>
      <c r="G408" t="s">
        <v>71</v>
      </c>
    </row>
    <row r="409" spans="1:7" x14ac:dyDescent="0.3">
      <c r="A409" t="s">
        <v>2666</v>
      </c>
      <c r="B409" t="s">
        <v>121</v>
      </c>
      <c r="C409" s="7">
        <v>45580</v>
      </c>
      <c r="D409" t="s">
        <v>2267</v>
      </c>
      <c r="E409">
        <v>49</v>
      </c>
      <c r="F409">
        <v>1296.1199999999999</v>
      </c>
      <c r="G409" t="s">
        <v>63</v>
      </c>
    </row>
    <row r="410" spans="1:7" x14ac:dyDescent="0.3">
      <c r="A410" t="s">
        <v>2667</v>
      </c>
      <c r="B410" t="s">
        <v>1028</v>
      </c>
      <c r="C410" s="7">
        <v>45452</v>
      </c>
      <c r="D410" t="s">
        <v>2261</v>
      </c>
      <c r="E410">
        <v>69</v>
      </c>
      <c r="F410">
        <v>13184.93</v>
      </c>
      <c r="G410" t="s">
        <v>74</v>
      </c>
    </row>
    <row r="411" spans="1:7" x14ac:dyDescent="0.3">
      <c r="A411" t="s">
        <v>2668</v>
      </c>
      <c r="B411" t="s">
        <v>393</v>
      </c>
      <c r="C411" s="7">
        <v>45420</v>
      </c>
      <c r="D411" t="s">
        <v>2261</v>
      </c>
      <c r="E411">
        <v>88</v>
      </c>
      <c r="F411">
        <v>14650.96</v>
      </c>
      <c r="G411" t="s">
        <v>2256</v>
      </c>
    </row>
    <row r="412" spans="1:7" x14ac:dyDescent="0.3">
      <c r="A412" t="s">
        <v>2669</v>
      </c>
      <c r="B412" t="s">
        <v>304</v>
      </c>
      <c r="C412" s="7">
        <v>45998</v>
      </c>
      <c r="D412" t="s">
        <v>2259</v>
      </c>
      <c r="E412">
        <v>29</v>
      </c>
      <c r="F412">
        <v>8365.18</v>
      </c>
      <c r="G412" t="s">
        <v>71</v>
      </c>
    </row>
    <row r="413" spans="1:7" x14ac:dyDescent="0.3">
      <c r="A413" t="s">
        <v>2670</v>
      </c>
      <c r="B413" t="s">
        <v>906</v>
      </c>
      <c r="C413" s="7">
        <v>45677</v>
      </c>
      <c r="D413" t="s">
        <v>2255</v>
      </c>
      <c r="E413">
        <v>6</v>
      </c>
      <c r="F413">
        <v>560.38</v>
      </c>
      <c r="G413" t="s">
        <v>74</v>
      </c>
    </row>
    <row r="414" spans="1:7" x14ac:dyDescent="0.3">
      <c r="A414" t="s">
        <v>2671</v>
      </c>
      <c r="B414" t="s">
        <v>985</v>
      </c>
      <c r="C414" s="7">
        <v>45537</v>
      </c>
      <c r="D414" t="s">
        <v>2255</v>
      </c>
      <c r="E414">
        <v>61</v>
      </c>
      <c r="F414">
        <v>18275.16</v>
      </c>
      <c r="G414" t="s">
        <v>2256</v>
      </c>
    </row>
    <row r="415" spans="1:7" x14ac:dyDescent="0.3">
      <c r="A415" t="s">
        <v>2672</v>
      </c>
      <c r="B415" t="s">
        <v>417</v>
      </c>
      <c r="C415" s="7">
        <v>45756</v>
      </c>
      <c r="D415" t="s">
        <v>2267</v>
      </c>
      <c r="E415">
        <v>112</v>
      </c>
      <c r="F415">
        <v>15906.11</v>
      </c>
      <c r="G415" t="s">
        <v>63</v>
      </c>
    </row>
    <row r="416" spans="1:7" x14ac:dyDescent="0.3">
      <c r="A416" t="s">
        <v>2673</v>
      </c>
      <c r="B416" t="s">
        <v>341</v>
      </c>
      <c r="C416" s="7">
        <v>45827</v>
      </c>
      <c r="D416" t="s">
        <v>2255</v>
      </c>
      <c r="E416">
        <v>68</v>
      </c>
      <c r="F416">
        <v>7489.16</v>
      </c>
      <c r="G416" t="s">
        <v>71</v>
      </c>
    </row>
    <row r="417" spans="1:7" x14ac:dyDescent="0.3">
      <c r="A417" t="s">
        <v>2674</v>
      </c>
      <c r="B417" t="s">
        <v>558</v>
      </c>
      <c r="C417" s="7">
        <v>45613</v>
      </c>
      <c r="D417" t="s">
        <v>2267</v>
      </c>
      <c r="E417">
        <v>47</v>
      </c>
      <c r="F417">
        <v>5264.88</v>
      </c>
      <c r="G417" t="s">
        <v>63</v>
      </c>
    </row>
    <row r="418" spans="1:7" x14ac:dyDescent="0.3">
      <c r="A418" t="s">
        <v>2675</v>
      </c>
      <c r="B418" t="s">
        <v>751</v>
      </c>
      <c r="C418" s="7">
        <v>45726</v>
      </c>
      <c r="D418" t="s">
        <v>2259</v>
      </c>
      <c r="E418">
        <v>45</v>
      </c>
      <c r="F418">
        <v>6834.79</v>
      </c>
      <c r="G418" t="s">
        <v>71</v>
      </c>
    </row>
    <row r="419" spans="1:7" x14ac:dyDescent="0.3">
      <c r="A419" t="s">
        <v>2676</v>
      </c>
      <c r="B419" t="s">
        <v>27</v>
      </c>
      <c r="C419" s="7">
        <v>45804</v>
      </c>
      <c r="D419" t="s">
        <v>2259</v>
      </c>
      <c r="E419">
        <v>11</v>
      </c>
      <c r="F419">
        <v>4802.91</v>
      </c>
      <c r="G419" t="s">
        <v>2256</v>
      </c>
    </row>
    <row r="420" spans="1:7" x14ac:dyDescent="0.3">
      <c r="A420" t="s">
        <v>2677</v>
      </c>
      <c r="B420" t="s">
        <v>614</v>
      </c>
      <c r="C420" s="7">
        <v>45987</v>
      </c>
      <c r="D420" t="s">
        <v>2255</v>
      </c>
      <c r="E420">
        <v>18</v>
      </c>
      <c r="F420">
        <v>14869.49</v>
      </c>
      <c r="G420" t="s">
        <v>2256</v>
      </c>
    </row>
    <row r="421" spans="1:7" x14ac:dyDescent="0.3">
      <c r="A421" t="s">
        <v>2678</v>
      </c>
      <c r="B421" t="s">
        <v>94</v>
      </c>
      <c r="C421" s="7">
        <v>45568</v>
      </c>
      <c r="D421" t="s">
        <v>2267</v>
      </c>
      <c r="E421">
        <v>47</v>
      </c>
      <c r="F421">
        <v>9938.94</v>
      </c>
      <c r="G421" t="s">
        <v>2256</v>
      </c>
    </row>
    <row r="422" spans="1:7" x14ac:dyDescent="0.3">
      <c r="A422" t="s">
        <v>2679</v>
      </c>
      <c r="B422" t="s">
        <v>785</v>
      </c>
      <c r="C422" s="7">
        <v>45937</v>
      </c>
      <c r="D422" t="s">
        <v>2259</v>
      </c>
      <c r="E422">
        <v>96</v>
      </c>
      <c r="F422">
        <v>5801.26</v>
      </c>
      <c r="G422" t="s">
        <v>71</v>
      </c>
    </row>
    <row r="423" spans="1:7" x14ac:dyDescent="0.3">
      <c r="A423" t="s">
        <v>2680</v>
      </c>
      <c r="B423" t="s">
        <v>890</v>
      </c>
      <c r="C423" s="7">
        <v>45853</v>
      </c>
      <c r="D423" t="s">
        <v>2267</v>
      </c>
      <c r="E423">
        <v>86</v>
      </c>
      <c r="F423">
        <v>7677.54</v>
      </c>
      <c r="G423" t="s">
        <v>71</v>
      </c>
    </row>
    <row r="424" spans="1:7" x14ac:dyDescent="0.3">
      <c r="A424" t="s">
        <v>2681</v>
      </c>
      <c r="B424" t="s">
        <v>241</v>
      </c>
      <c r="C424" s="7">
        <v>45838</v>
      </c>
      <c r="D424" t="s">
        <v>2259</v>
      </c>
      <c r="E424">
        <v>23</v>
      </c>
      <c r="F424">
        <v>9935.36</v>
      </c>
      <c r="G424" t="s">
        <v>74</v>
      </c>
    </row>
    <row r="425" spans="1:7" x14ac:dyDescent="0.3">
      <c r="A425" t="s">
        <v>2682</v>
      </c>
      <c r="B425" t="s">
        <v>255</v>
      </c>
      <c r="C425" s="7">
        <v>45997</v>
      </c>
      <c r="D425" t="s">
        <v>2255</v>
      </c>
      <c r="E425">
        <v>10</v>
      </c>
      <c r="F425">
        <v>16130.17</v>
      </c>
      <c r="G425" t="s">
        <v>2256</v>
      </c>
    </row>
    <row r="426" spans="1:7" x14ac:dyDescent="0.3">
      <c r="A426" t="s">
        <v>2683</v>
      </c>
      <c r="B426" t="s">
        <v>932</v>
      </c>
      <c r="C426" s="7">
        <v>45784</v>
      </c>
      <c r="D426" t="s">
        <v>2255</v>
      </c>
      <c r="E426">
        <v>48</v>
      </c>
      <c r="F426">
        <v>3792.82</v>
      </c>
      <c r="G426" t="s">
        <v>74</v>
      </c>
    </row>
    <row r="427" spans="1:7" x14ac:dyDescent="0.3">
      <c r="A427" t="s">
        <v>2684</v>
      </c>
      <c r="B427" t="s">
        <v>149</v>
      </c>
      <c r="C427" s="7">
        <v>45761</v>
      </c>
      <c r="D427" t="s">
        <v>2259</v>
      </c>
      <c r="E427">
        <v>41</v>
      </c>
      <c r="F427">
        <v>7604.44</v>
      </c>
      <c r="G427" t="s">
        <v>2256</v>
      </c>
    </row>
    <row r="428" spans="1:7" x14ac:dyDescent="0.3">
      <c r="A428" t="s">
        <v>2685</v>
      </c>
      <c r="B428" t="s">
        <v>23</v>
      </c>
      <c r="C428" s="7">
        <v>45573</v>
      </c>
      <c r="D428" t="s">
        <v>2261</v>
      </c>
      <c r="E428">
        <v>49</v>
      </c>
      <c r="F428">
        <v>11069.01</v>
      </c>
      <c r="G428" t="s">
        <v>74</v>
      </c>
    </row>
    <row r="429" spans="1:7" x14ac:dyDescent="0.3">
      <c r="A429" t="s">
        <v>2686</v>
      </c>
      <c r="B429" t="s">
        <v>902</v>
      </c>
      <c r="C429" s="7">
        <v>45854</v>
      </c>
      <c r="D429" t="s">
        <v>2261</v>
      </c>
      <c r="E429">
        <v>63</v>
      </c>
      <c r="F429">
        <v>13689.94</v>
      </c>
      <c r="G429" t="s">
        <v>74</v>
      </c>
    </row>
    <row r="430" spans="1:7" x14ac:dyDescent="0.3">
      <c r="A430" t="s">
        <v>2687</v>
      </c>
      <c r="B430" t="s">
        <v>949</v>
      </c>
      <c r="C430" s="7">
        <v>45762</v>
      </c>
      <c r="D430" t="s">
        <v>2261</v>
      </c>
      <c r="E430">
        <v>62</v>
      </c>
      <c r="F430">
        <v>18707.34</v>
      </c>
      <c r="G430" t="s">
        <v>2256</v>
      </c>
    </row>
    <row r="431" spans="1:7" x14ac:dyDescent="0.3">
      <c r="A431" t="s">
        <v>2688</v>
      </c>
      <c r="B431" t="s">
        <v>868</v>
      </c>
      <c r="C431" s="7">
        <v>45859</v>
      </c>
      <c r="D431" t="s">
        <v>2255</v>
      </c>
      <c r="E431">
        <v>6</v>
      </c>
      <c r="F431">
        <v>18166.07</v>
      </c>
      <c r="G431" t="s">
        <v>71</v>
      </c>
    </row>
    <row r="432" spans="1:7" x14ac:dyDescent="0.3">
      <c r="A432" t="s">
        <v>2689</v>
      </c>
      <c r="B432" t="s">
        <v>748</v>
      </c>
      <c r="C432" s="7">
        <v>45796</v>
      </c>
      <c r="D432" t="s">
        <v>2255</v>
      </c>
      <c r="E432">
        <v>11</v>
      </c>
      <c r="F432">
        <v>10910</v>
      </c>
      <c r="G432" t="s">
        <v>74</v>
      </c>
    </row>
    <row r="433" spans="1:7" x14ac:dyDescent="0.3">
      <c r="A433" t="s">
        <v>2690</v>
      </c>
      <c r="B433" t="s">
        <v>879</v>
      </c>
      <c r="C433" s="7">
        <v>45828</v>
      </c>
      <c r="D433" t="s">
        <v>2259</v>
      </c>
      <c r="E433">
        <v>16</v>
      </c>
      <c r="F433">
        <v>10420.02</v>
      </c>
      <c r="G433" t="s">
        <v>71</v>
      </c>
    </row>
    <row r="434" spans="1:7" x14ac:dyDescent="0.3">
      <c r="A434" t="s">
        <v>2691</v>
      </c>
      <c r="B434" t="s">
        <v>454</v>
      </c>
      <c r="C434" s="7">
        <v>45996</v>
      </c>
      <c r="D434" t="s">
        <v>2259</v>
      </c>
      <c r="E434">
        <v>84</v>
      </c>
      <c r="F434">
        <v>1163.22</v>
      </c>
      <c r="G434" t="s">
        <v>2256</v>
      </c>
    </row>
    <row r="435" spans="1:7" x14ac:dyDescent="0.3">
      <c r="A435" t="s">
        <v>2692</v>
      </c>
      <c r="B435" t="s">
        <v>184</v>
      </c>
      <c r="C435" s="7">
        <v>45621</v>
      </c>
      <c r="D435" t="s">
        <v>2267</v>
      </c>
      <c r="E435">
        <v>70</v>
      </c>
      <c r="F435">
        <v>17087.98</v>
      </c>
      <c r="G435" t="s">
        <v>63</v>
      </c>
    </row>
    <row r="436" spans="1:7" x14ac:dyDescent="0.3">
      <c r="A436" t="s">
        <v>2693</v>
      </c>
      <c r="B436" t="s">
        <v>628</v>
      </c>
      <c r="C436" s="7">
        <v>45557</v>
      </c>
      <c r="D436" t="s">
        <v>2255</v>
      </c>
      <c r="E436">
        <v>115</v>
      </c>
      <c r="F436">
        <v>19361.22</v>
      </c>
      <c r="G436" t="s">
        <v>2256</v>
      </c>
    </row>
    <row r="437" spans="1:7" x14ac:dyDescent="0.3">
      <c r="A437" t="s">
        <v>2694</v>
      </c>
      <c r="B437" t="s">
        <v>386</v>
      </c>
      <c r="C437" s="7">
        <v>45505</v>
      </c>
      <c r="D437" t="s">
        <v>2261</v>
      </c>
      <c r="E437">
        <v>77</v>
      </c>
      <c r="F437">
        <v>9273.8700000000008</v>
      </c>
      <c r="G437" t="s">
        <v>63</v>
      </c>
    </row>
    <row r="438" spans="1:7" x14ac:dyDescent="0.3">
      <c r="A438" t="s">
        <v>2695</v>
      </c>
      <c r="B438" t="s">
        <v>875</v>
      </c>
      <c r="C438" s="7">
        <v>45713</v>
      </c>
      <c r="D438" t="s">
        <v>2259</v>
      </c>
      <c r="E438">
        <v>14</v>
      </c>
      <c r="F438">
        <v>8429.19</v>
      </c>
      <c r="G438" t="s">
        <v>63</v>
      </c>
    </row>
    <row r="439" spans="1:7" x14ac:dyDescent="0.3">
      <c r="A439" t="s">
        <v>2696</v>
      </c>
      <c r="B439" t="s">
        <v>3</v>
      </c>
      <c r="C439" s="7">
        <v>45979</v>
      </c>
      <c r="D439" t="s">
        <v>2255</v>
      </c>
      <c r="E439">
        <v>12</v>
      </c>
      <c r="F439">
        <v>11521.78</v>
      </c>
      <c r="G439" t="s">
        <v>74</v>
      </c>
    </row>
    <row r="440" spans="1:7" x14ac:dyDescent="0.3">
      <c r="A440" t="s">
        <v>2697</v>
      </c>
      <c r="B440" t="s">
        <v>1012</v>
      </c>
      <c r="C440" s="7">
        <v>45559</v>
      </c>
      <c r="D440" t="s">
        <v>2255</v>
      </c>
      <c r="E440">
        <v>64</v>
      </c>
      <c r="F440">
        <v>1629.51</v>
      </c>
      <c r="G440" t="s">
        <v>2256</v>
      </c>
    </row>
    <row r="441" spans="1:7" x14ac:dyDescent="0.3">
      <c r="A441" t="s">
        <v>2698</v>
      </c>
      <c r="B441" t="s">
        <v>751</v>
      </c>
      <c r="C441" s="7">
        <v>45595</v>
      </c>
      <c r="D441" t="s">
        <v>2255</v>
      </c>
      <c r="E441">
        <v>61</v>
      </c>
      <c r="F441">
        <v>12317.01</v>
      </c>
      <c r="G441" t="s">
        <v>63</v>
      </c>
    </row>
    <row r="442" spans="1:7" x14ac:dyDescent="0.3">
      <c r="A442" t="s">
        <v>2699</v>
      </c>
      <c r="B442" t="s">
        <v>645</v>
      </c>
      <c r="C442" s="7">
        <v>45613</v>
      </c>
      <c r="D442" t="s">
        <v>2267</v>
      </c>
      <c r="E442">
        <v>89</v>
      </c>
      <c r="F442">
        <v>12080.82</v>
      </c>
      <c r="G442" t="s">
        <v>71</v>
      </c>
    </row>
    <row r="443" spans="1:7" x14ac:dyDescent="0.3">
      <c r="A443" t="s">
        <v>2700</v>
      </c>
      <c r="B443" t="s">
        <v>103</v>
      </c>
      <c r="C443" s="7">
        <v>45693</v>
      </c>
      <c r="D443" t="s">
        <v>2267</v>
      </c>
      <c r="E443">
        <v>96</v>
      </c>
      <c r="F443">
        <v>5987.49</v>
      </c>
      <c r="G443" t="s">
        <v>63</v>
      </c>
    </row>
    <row r="444" spans="1:7" x14ac:dyDescent="0.3">
      <c r="A444" t="s">
        <v>2701</v>
      </c>
      <c r="B444" t="s">
        <v>26</v>
      </c>
      <c r="C444" s="7">
        <v>45709</v>
      </c>
      <c r="D444" t="s">
        <v>2261</v>
      </c>
      <c r="E444">
        <v>62</v>
      </c>
      <c r="F444">
        <v>17027.169999999998</v>
      </c>
      <c r="G444" t="s">
        <v>74</v>
      </c>
    </row>
    <row r="445" spans="1:7" x14ac:dyDescent="0.3">
      <c r="A445" t="s">
        <v>2702</v>
      </c>
      <c r="B445" t="s">
        <v>1</v>
      </c>
      <c r="C445" s="7">
        <v>45749</v>
      </c>
      <c r="D445" t="s">
        <v>2267</v>
      </c>
      <c r="E445">
        <v>100</v>
      </c>
      <c r="F445">
        <v>19225.37</v>
      </c>
      <c r="G445" t="s">
        <v>63</v>
      </c>
    </row>
    <row r="446" spans="1:7" x14ac:dyDescent="0.3">
      <c r="A446" t="s">
        <v>2703</v>
      </c>
      <c r="B446" t="s">
        <v>184</v>
      </c>
      <c r="C446" s="7">
        <v>45808</v>
      </c>
      <c r="D446" t="s">
        <v>2255</v>
      </c>
      <c r="E446">
        <v>107</v>
      </c>
      <c r="F446">
        <v>12043.96</v>
      </c>
      <c r="G446" t="s">
        <v>74</v>
      </c>
    </row>
    <row r="447" spans="1:7" x14ac:dyDescent="0.3">
      <c r="A447" t="s">
        <v>2704</v>
      </c>
      <c r="B447" t="s">
        <v>211</v>
      </c>
      <c r="C447" s="7">
        <v>45561</v>
      </c>
      <c r="D447" t="s">
        <v>2267</v>
      </c>
      <c r="E447">
        <v>41</v>
      </c>
      <c r="F447">
        <v>4751.71</v>
      </c>
      <c r="G447" t="s">
        <v>63</v>
      </c>
    </row>
    <row r="448" spans="1:7" x14ac:dyDescent="0.3">
      <c r="A448" t="s">
        <v>2705</v>
      </c>
      <c r="B448" t="s">
        <v>867</v>
      </c>
      <c r="C448" s="7">
        <v>45460</v>
      </c>
      <c r="D448" t="s">
        <v>2261</v>
      </c>
      <c r="E448">
        <v>2</v>
      </c>
      <c r="F448">
        <v>17905.650000000001</v>
      </c>
      <c r="G448" t="s">
        <v>2256</v>
      </c>
    </row>
    <row r="449" spans="1:7" x14ac:dyDescent="0.3">
      <c r="A449" t="s">
        <v>2706</v>
      </c>
      <c r="B449" t="s">
        <v>963</v>
      </c>
      <c r="C449" s="7">
        <v>45637</v>
      </c>
      <c r="D449" t="s">
        <v>2261</v>
      </c>
      <c r="E449">
        <v>90</v>
      </c>
      <c r="F449">
        <v>2241.46</v>
      </c>
      <c r="G449" t="s">
        <v>2256</v>
      </c>
    </row>
    <row r="450" spans="1:7" x14ac:dyDescent="0.3">
      <c r="A450" t="s">
        <v>2707</v>
      </c>
      <c r="B450" t="s">
        <v>355</v>
      </c>
      <c r="C450" s="7">
        <v>45559</v>
      </c>
      <c r="D450" t="s">
        <v>2259</v>
      </c>
      <c r="E450">
        <v>52</v>
      </c>
      <c r="F450">
        <v>10213.620000000001</v>
      </c>
      <c r="G450" t="s">
        <v>71</v>
      </c>
    </row>
    <row r="451" spans="1:7" x14ac:dyDescent="0.3">
      <c r="A451" t="s">
        <v>2708</v>
      </c>
      <c r="B451" t="s">
        <v>768</v>
      </c>
      <c r="C451" s="7">
        <v>45883</v>
      </c>
      <c r="D451" t="s">
        <v>2261</v>
      </c>
      <c r="E451">
        <v>120</v>
      </c>
      <c r="F451">
        <v>8632.9699999999993</v>
      </c>
      <c r="G451" t="s">
        <v>71</v>
      </c>
    </row>
    <row r="452" spans="1:7" x14ac:dyDescent="0.3">
      <c r="A452" t="s">
        <v>2709</v>
      </c>
      <c r="B452" t="s">
        <v>505</v>
      </c>
      <c r="C452" s="7">
        <v>45754</v>
      </c>
      <c r="D452" t="s">
        <v>2259</v>
      </c>
      <c r="E452">
        <v>85</v>
      </c>
      <c r="F452">
        <v>4604.62</v>
      </c>
      <c r="G452" t="s">
        <v>63</v>
      </c>
    </row>
    <row r="453" spans="1:7" x14ac:dyDescent="0.3">
      <c r="A453" t="s">
        <v>2710</v>
      </c>
      <c r="B453" t="s">
        <v>705</v>
      </c>
      <c r="C453" s="7">
        <v>45944</v>
      </c>
      <c r="D453" t="s">
        <v>2261</v>
      </c>
      <c r="E453">
        <v>84</v>
      </c>
      <c r="F453">
        <v>3515.85</v>
      </c>
      <c r="G453" t="s">
        <v>74</v>
      </c>
    </row>
    <row r="454" spans="1:7" x14ac:dyDescent="0.3">
      <c r="A454" t="s">
        <v>2711</v>
      </c>
      <c r="B454" t="s">
        <v>819</v>
      </c>
      <c r="C454" s="7">
        <v>45976</v>
      </c>
      <c r="D454" t="s">
        <v>2261</v>
      </c>
      <c r="E454">
        <v>104</v>
      </c>
      <c r="F454">
        <v>16206.62</v>
      </c>
      <c r="G454" t="s">
        <v>2256</v>
      </c>
    </row>
    <row r="455" spans="1:7" x14ac:dyDescent="0.3">
      <c r="A455" t="s">
        <v>2712</v>
      </c>
      <c r="B455" t="s">
        <v>114</v>
      </c>
      <c r="C455" s="7">
        <v>45615</v>
      </c>
      <c r="D455" t="s">
        <v>2259</v>
      </c>
      <c r="E455">
        <v>41</v>
      </c>
      <c r="F455">
        <v>6239.97</v>
      </c>
      <c r="G455" t="s">
        <v>71</v>
      </c>
    </row>
    <row r="456" spans="1:7" x14ac:dyDescent="0.3">
      <c r="A456" t="s">
        <v>2713</v>
      </c>
      <c r="B456" t="s">
        <v>571</v>
      </c>
      <c r="C456" s="7">
        <v>45929</v>
      </c>
      <c r="D456" t="s">
        <v>2267</v>
      </c>
      <c r="E456">
        <v>57</v>
      </c>
      <c r="F456">
        <v>8285.92</v>
      </c>
      <c r="G456" t="s">
        <v>71</v>
      </c>
    </row>
    <row r="457" spans="1:7" x14ac:dyDescent="0.3">
      <c r="A457" t="s">
        <v>2714</v>
      </c>
      <c r="B457" t="s">
        <v>905</v>
      </c>
      <c r="C457" s="7">
        <v>45745</v>
      </c>
      <c r="D457" t="s">
        <v>2259</v>
      </c>
      <c r="E457">
        <v>111</v>
      </c>
      <c r="F457">
        <v>1614.26</v>
      </c>
      <c r="G457" t="s">
        <v>71</v>
      </c>
    </row>
    <row r="458" spans="1:7" x14ac:dyDescent="0.3">
      <c r="A458" t="s">
        <v>2715</v>
      </c>
      <c r="B458" t="s">
        <v>964</v>
      </c>
      <c r="C458" s="7">
        <v>45928</v>
      </c>
      <c r="D458" t="s">
        <v>2259</v>
      </c>
      <c r="E458">
        <v>41</v>
      </c>
      <c r="F458">
        <v>12368.41</v>
      </c>
      <c r="G458" t="s">
        <v>74</v>
      </c>
    </row>
    <row r="459" spans="1:7" x14ac:dyDescent="0.3">
      <c r="A459" t="s">
        <v>2716</v>
      </c>
      <c r="B459" t="s">
        <v>273</v>
      </c>
      <c r="C459" s="7">
        <v>45607</v>
      </c>
      <c r="D459" t="s">
        <v>2261</v>
      </c>
      <c r="E459">
        <v>31</v>
      </c>
      <c r="F459">
        <v>9657.67</v>
      </c>
      <c r="G459" t="s">
        <v>2256</v>
      </c>
    </row>
    <row r="460" spans="1:7" x14ac:dyDescent="0.3">
      <c r="A460" t="s">
        <v>2717</v>
      </c>
      <c r="B460" t="s">
        <v>922</v>
      </c>
      <c r="C460" s="7">
        <v>46020</v>
      </c>
      <c r="D460" t="s">
        <v>2261</v>
      </c>
      <c r="E460">
        <v>100</v>
      </c>
      <c r="F460">
        <v>3440.83</v>
      </c>
      <c r="G460" t="s">
        <v>63</v>
      </c>
    </row>
    <row r="461" spans="1:7" x14ac:dyDescent="0.3">
      <c r="A461" t="s">
        <v>2718</v>
      </c>
      <c r="B461" t="s">
        <v>224</v>
      </c>
      <c r="C461" s="7">
        <v>45792</v>
      </c>
      <c r="D461" t="s">
        <v>2255</v>
      </c>
      <c r="E461">
        <v>73</v>
      </c>
      <c r="F461">
        <v>5075.96</v>
      </c>
      <c r="G461" t="s">
        <v>71</v>
      </c>
    </row>
    <row r="462" spans="1:7" x14ac:dyDescent="0.3">
      <c r="A462" t="s">
        <v>2719</v>
      </c>
      <c r="B462" t="s">
        <v>972</v>
      </c>
      <c r="C462" s="7">
        <v>45751</v>
      </c>
      <c r="D462" t="s">
        <v>2267</v>
      </c>
      <c r="E462">
        <v>53</v>
      </c>
      <c r="F462">
        <v>3907.18</v>
      </c>
      <c r="G462" t="s">
        <v>63</v>
      </c>
    </row>
    <row r="463" spans="1:7" x14ac:dyDescent="0.3">
      <c r="A463" t="s">
        <v>2720</v>
      </c>
      <c r="B463" t="s">
        <v>467</v>
      </c>
      <c r="C463" s="7">
        <v>45790</v>
      </c>
      <c r="D463" t="s">
        <v>2261</v>
      </c>
      <c r="E463">
        <v>33</v>
      </c>
      <c r="F463">
        <v>4252.87</v>
      </c>
      <c r="G463" t="s">
        <v>63</v>
      </c>
    </row>
    <row r="464" spans="1:7" x14ac:dyDescent="0.3">
      <c r="A464" t="s">
        <v>2721</v>
      </c>
      <c r="B464" t="s">
        <v>634</v>
      </c>
      <c r="C464" s="7">
        <v>45868</v>
      </c>
      <c r="D464" t="s">
        <v>2267</v>
      </c>
      <c r="E464">
        <v>23</v>
      </c>
      <c r="F464">
        <v>5757.15</v>
      </c>
      <c r="G464" t="s">
        <v>74</v>
      </c>
    </row>
    <row r="465" spans="1:7" x14ac:dyDescent="0.3">
      <c r="A465" t="s">
        <v>2722</v>
      </c>
      <c r="B465" t="s">
        <v>263</v>
      </c>
      <c r="C465" s="7">
        <v>45492</v>
      </c>
      <c r="D465" t="s">
        <v>2267</v>
      </c>
      <c r="E465">
        <v>21</v>
      </c>
      <c r="F465">
        <v>19484.22</v>
      </c>
      <c r="G465" t="s">
        <v>63</v>
      </c>
    </row>
    <row r="466" spans="1:7" x14ac:dyDescent="0.3">
      <c r="A466" t="s">
        <v>2723</v>
      </c>
      <c r="B466" t="s">
        <v>747</v>
      </c>
      <c r="C466" s="7">
        <v>45780</v>
      </c>
      <c r="D466" t="s">
        <v>2255</v>
      </c>
      <c r="E466">
        <v>108</v>
      </c>
      <c r="F466">
        <v>17251.55</v>
      </c>
      <c r="G466" t="s">
        <v>2256</v>
      </c>
    </row>
    <row r="467" spans="1:7" x14ac:dyDescent="0.3">
      <c r="A467" t="s">
        <v>2724</v>
      </c>
      <c r="B467" t="s">
        <v>868</v>
      </c>
      <c r="C467" s="7">
        <v>45768</v>
      </c>
      <c r="D467" t="s">
        <v>2255</v>
      </c>
      <c r="E467">
        <v>103</v>
      </c>
      <c r="F467">
        <v>11034.01</v>
      </c>
      <c r="G467" t="s">
        <v>74</v>
      </c>
    </row>
    <row r="468" spans="1:7" x14ac:dyDescent="0.3">
      <c r="A468" t="s">
        <v>2725</v>
      </c>
      <c r="B468" t="s">
        <v>687</v>
      </c>
      <c r="C468" s="7">
        <v>45922</v>
      </c>
      <c r="D468" t="s">
        <v>2267</v>
      </c>
      <c r="E468">
        <v>36</v>
      </c>
      <c r="F468">
        <v>2813.85</v>
      </c>
      <c r="G468" t="s">
        <v>2256</v>
      </c>
    </row>
    <row r="469" spans="1:7" x14ac:dyDescent="0.3">
      <c r="A469" t="s">
        <v>2726</v>
      </c>
      <c r="B469" t="s">
        <v>558</v>
      </c>
      <c r="C469" s="7">
        <v>45561</v>
      </c>
      <c r="D469" t="s">
        <v>2259</v>
      </c>
      <c r="E469">
        <v>117</v>
      </c>
      <c r="F469">
        <v>1732.51</v>
      </c>
      <c r="G469" t="s">
        <v>71</v>
      </c>
    </row>
    <row r="470" spans="1:7" x14ac:dyDescent="0.3">
      <c r="A470" t="s">
        <v>2727</v>
      </c>
      <c r="B470" t="s">
        <v>921</v>
      </c>
      <c r="C470" s="7">
        <v>46002</v>
      </c>
      <c r="D470" t="s">
        <v>2255</v>
      </c>
      <c r="E470">
        <v>44</v>
      </c>
      <c r="F470">
        <v>7904.56</v>
      </c>
      <c r="G470" t="s">
        <v>63</v>
      </c>
    </row>
    <row r="471" spans="1:7" x14ac:dyDescent="0.3">
      <c r="A471" t="s">
        <v>2728</v>
      </c>
      <c r="B471" t="s">
        <v>848</v>
      </c>
      <c r="C471" s="7">
        <v>45830</v>
      </c>
      <c r="D471" t="s">
        <v>2255</v>
      </c>
      <c r="E471">
        <v>84</v>
      </c>
      <c r="F471">
        <v>6840.26</v>
      </c>
      <c r="G471" t="s">
        <v>2256</v>
      </c>
    </row>
    <row r="472" spans="1:7" x14ac:dyDescent="0.3">
      <c r="A472" t="s">
        <v>2729</v>
      </c>
      <c r="B472" t="s">
        <v>984</v>
      </c>
      <c r="C472" s="7">
        <v>45993</v>
      </c>
      <c r="D472" t="s">
        <v>2259</v>
      </c>
      <c r="E472">
        <v>85</v>
      </c>
      <c r="F472">
        <v>5921.37</v>
      </c>
      <c r="G472" t="s">
        <v>74</v>
      </c>
    </row>
    <row r="473" spans="1:7" x14ac:dyDescent="0.3">
      <c r="A473" t="s">
        <v>2730</v>
      </c>
      <c r="B473" t="s">
        <v>263</v>
      </c>
      <c r="C473" s="7">
        <v>45647</v>
      </c>
      <c r="D473" t="s">
        <v>2267</v>
      </c>
      <c r="E473">
        <v>79</v>
      </c>
      <c r="F473">
        <v>17763.080000000002</v>
      </c>
      <c r="G473" t="s">
        <v>2256</v>
      </c>
    </row>
    <row r="474" spans="1:7" x14ac:dyDescent="0.3">
      <c r="A474" t="s">
        <v>2731</v>
      </c>
      <c r="B474" t="s">
        <v>282</v>
      </c>
      <c r="C474" s="7">
        <v>45565</v>
      </c>
      <c r="D474" t="s">
        <v>2267</v>
      </c>
      <c r="E474">
        <v>42</v>
      </c>
      <c r="F474">
        <v>15213.43</v>
      </c>
      <c r="G474" t="s">
        <v>71</v>
      </c>
    </row>
    <row r="475" spans="1:7" x14ac:dyDescent="0.3">
      <c r="A475" t="s">
        <v>2732</v>
      </c>
      <c r="B475" t="s">
        <v>963</v>
      </c>
      <c r="C475" s="7">
        <v>45920</v>
      </c>
      <c r="D475" t="s">
        <v>2261</v>
      </c>
      <c r="E475">
        <v>102</v>
      </c>
      <c r="F475">
        <v>11263.7</v>
      </c>
      <c r="G475" t="s">
        <v>71</v>
      </c>
    </row>
    <row r="476" spans="1:7" x14ac:dyDescent="0.3">
      <c r="A476" t="s">
        <v>2733</v>
      </c>
      <c r="B476" t="s">
        <v>744</v>
      </c>
      <c r="C476" s="7">
        <v>45547</v>
      </c>
      <c r="D476" t="s">
        <v>2267</v>
      </c>
      <c r="E476">
        <v>8</v>
      </c>
      <c r="F476">
        <v>19608.72</v>
      </c>
      <c r="G476" t="s">
        <v>74</v>
      </c>
    </row>
    <row r="477" spans="1:7" x14ac:dyDescent="0.3">
      <c r="A477" t="s">
        <v>2734</v>
      </c>
      <c r="B477" t="s">
        <v>241</v>
      </c>
      <c r="C477" s="7">
        <v>45634</v>
      </c>
      <c r="D477" t="s">
        <v>2259</v>
      </c>
      <c r="E477">
        <v>98</v>
      </c>
      <c r="F477">
        <v>15141.94</v>
      </c>
      <c r="G477" t="s">
        <v>63</v>
      </c>
    </row>
    <row r="478" spans="1:7" x14ac:dyDescent="0.3">
      <c r="A478" t="s">
        <v>2735</v>
      </c>
      <c r="B478" t="s">
        <v>1026</v>
      </c>
      <c r="C478" s="7">
        <v>45823</v>
      </c>
      <c r="D478" t="s">
        <v>2255</v>
      </c>
      <c r="E478">
        <v>86</v>
      </c>
      <c r="F478">
        <v>7768.72</v>
      </c>
      <c r="G478" t="s">
        <v>63</v>
      </c>
    </row>
    <row r="479" spans="1:7" x14ac:dyDescent="0.3">
      <c r="A479" t="s">
        <v>2736</v>
      </c>
      <c r="B479" t="s">
        <v>843</v>
      </c>
      <c r="C479" s="7">
        <v>45470</v>
      </c>
      <c r="D479" t="s">
        <v>2255</v>
      </c>
      <c r="E479">
        <v>3</v>
      </c>
      <c r="F479">
        <v>15418.63</v>
      </c>
      <c r="G479" t="s">
        <v>74</v>
      </c>
    </row>
    <row r="480" spans="1:7" x14ac:dyDescent="0.3">
      <c r="A480" t="s">
        <v>2737</v>
      </c>
      <c r="B480" t="s">
        <v>1035</v>
      </c>
      <c r="C480" s="7">
        <v>45940</v>
      </c>
      <c r="D480" t="s">
        <v>2267</v>
      </c>
      <c r="E480">
        <v>11</v>
      </c>
      <c r="F480">
        <v>19340.080000000002</v>
      </c>
      <c r="G480" t="s">
        <v>74</v>
      </c>
    </row>
    <row r="481" spans="1:7" x14ac:dyDescent="0.3">
      <c r="A481" t="s">
        <v>2738</v>
      </c>
      <c r="B481" t="s">
        <v>443</v>
      </c>
      <c r="C481" s="7">
        <v>45948</v>
      </c>
      <c r="D481" t="s">
        <v>2267</v>
      </c>
      <c r="E481">
        <v>19</v>
      </c>
      <c r="F481">
        <v>18140.37</v>
      </c>
      <c r="G481" t="s">
        <v>2256</v>
      </c>
    </row>
    <row r="482" spans="1:7" x14ac:dyDescent="0.3">
      <c r="A482" t="s">
        <v>2739</v>
      </c>
      <c r="B482" t="s">
        <v>434</v>
      </c>
      <c r="C482" s="7">
        <v>45845</v>
      </c>
      <c r="D482" t="s">
        <v>2259</v>
      </c>
      <c r="E482">
        <v>7</v>
      </c>
      <c r="F482">
        <v>17841.52</v>
      </c>
      <c r="G482" t="s">
        <v>2256</v>
      </c>
    </row>
    <row r="483" spans="1:7" x14ac:dyDescent="0.3">
      <c r="A483" t="s">
        <v>2740</v>
      </c>
      <c r="B483" t="s">
        <v>593</v>
      </c>
      <c r="C483" s="7">
        <v>45530</v>
      </c>
      <c r="D483" t="s">
        <v>2261</v>
      </c>
      <c r="E483">
        <v>96</v>
      </c>
      <c r="F483">
        <v>8506.99</v>
      </c>
      <c r="G483" t="s">
        <v>63</v>
      </c>
    </row>
    <row r="484" spans="1:7" x14ac:dyDescent="0.3">
      <c r="A484" t="s">
        <v>2741</v>
      </c>
      <c r="B484" t="s">
        <v>400</v>
      </c>
      <c r="C484" s="7">
        <v>45822</v>
      </c>
      <c r="D484" t="s">
        <v>2267</v>
      </c>
      <c r="E484">
        <v>52</v>
      </c>
      <c r="F484">
        <v>10222.530000000001</v>
      </c>
      <c r="G484" t="s">
        <v>2256</v>
      </c>
    </row>
    <row r="485" spans="1:7" x14ac:dyDescent="0.3">
      <c r="A485" t="s">
        <v>2742</v>
      </c>
      <c r="B485" t="s">
        <v>114</v>
      </c>
      <c r="C485" s="7">
        <v>45936</v>
      </c>
      <c r="D485" t="s">
        <v>2255</v>
      </c>
      <c r="E485">
        <v>87</v>
      </c>
      <c r="F485">
        <v>19263.78</v>
      </c>
      <c r="G485" t="s">
        <v>74</v>
      </c>
    </row>
    <row r="486" spans="1:7" x14ac:dyDescent="0.3">
      <c r="A486" t="s">
        <v>2743</v>
      </c>
      <c r="B486" t="s">
        <v>962</v>
      </c>
      <c r="C486" s="7">
        <v>45536</v>
      </c>
      <c r="D486" t="s">
        <v>2259</v>
      </c>
      <c r="E486">
        <v>39</v>
      </c>
      <c r="F486">
        <v>5670.81</v>
      </c>
      <c r="G486" t="s">
        <v>63</v>
      </c>
    </row>
    <row r="487" spans="1:7" x14ac:dyDescent="0.3">
      <c r="A487" t="s">
        <v>2744</v>
      </c>
      <c r="B487" t="s">
        <v>233</v>
      </c>
      <c r="C487" s="7">
        <v>45695</v>
      </c>
      <c r="D487" t="s">
        <v>2259</v>
      </c>
      <c r="E487">
        <v>114</v>
      </c>
      <c r="F487">
        <v>2804.51</v>
      </c>
      <c r="G487" t="s">
        <v>74</v>
      </c>
    </row>
    <row r="488" spans="1:7" x14ac:dyDescent="0.3">
      <c r="A488" t="s">
        <v>2745</v>
      </c>
      <c r="B488" t="s">
        <v>760</v>
      </c>
      <c r="C488" s="7">
        <v>45842</v>
      </c>
      <c r="D488" t="s">
        <v>2255</v>
      </c>
      <c r="E488">
        <v>66</v>
      </c>
      <c r="F488">
        <v>12323.64</v>
      </c>
      <c r="G488" t="s">
        <v>2256</v>
      </c>
    </row>
    <row r="489" spans="1:7" x14ac:dyDescent="0.3">
      <c r="A489" t="s">
        <v>2746</v>
      </c>
      <c r="B489" t="s">
        <v>911</v>
      </c>
      <c r="C489" s="7">
        <v>45945</v>
      </c>
      <c r="D489" t="s">
        <v>2267</v>
      </c>
      <c r="E489">
        <v>79</v>
      </c>
      <c r="F489">
        <v>5525.04</v>
      </c>
      <c r="G489" t="s">
        <v>63</v>
      </c>
    </row>
    <row r="490" spans="1:7" x14ac:dyDescent="0.3">
      <c r="A490" t="s">
        <v>2747</v>
      </c>
      <c r="B490" t="s">
        <v>402</v>
      </c>
      <c r="C490" s="7">
        <v>45953</v>
      </c>
      <c r="D490" t="s">
        <v>2267</v>
      </c>
      <c r="E490">
        <v>18</v>
      </c>
      <c r="F490">
        <v>11789.92</v>
      </c>
      <c r="G490" t="s">
        <v>74</v>
      </c>
    </row>
    <row r="491" spans="1:7" x14ac:dyDescent="0.3">
      <c r="A491" t="s">
        <v>2748</v>
      </c>
      <c r="B491" t="s">
        <v>774</v>
      </c>
      <c r="C491" s="7">
        <v>45900</v>
      </c>
      <c r="D491" t="s">
        <v>2255</v>
      </c>
      <c r="E491">
        <v>97</v>
      </c>
      <c r="F491">
        <v>15701.76</v>
      </c>
      <c r="G491" t="s">
        <v>2256</v>
      </c>
    </row>
    <row r="492" spans="1:7" x14ac:dyDescent="0.3">
      <c r="A492" t="s">
        <v>2749</v>
      </c>
      <c r="B492" t="s">
        <v>164</v>
      </c>
      <c r="C492" s="7">
        <v>45996</v>
      </c>
      <c r="D492" t="s">
        <v>2267</v>
      </c>
      <c r="E492">
        <v>11</v>
      </c>
      <c r="F492">
        <v>6231.7</v>
      </c>
      <c r="G492" t="s">
        <v>2256</v>
      </c>
    </row>
    <row r="493" spans="1:7" x14ac:dyDescent="0.3">
      <c r="A493" t="s">
        <v>2750</v>
      </c>
      <c r="B493" t="s">
        <v>135</v>
      </c>
      <c r="C493" s="7">
        <v>45482</v>
      </c>
      <c r="D493" t="s">
        <v>2255</v>
      </c>
      <c r="E493">
        <v>41</v>
      </c>
      <c r="F493">
        <v>15112.18</v>
      </c>
      <c r="G493" t="s">
        <v>74</v>
      </c>
    </row>
    <row r="494" spans="1:7" x14ac:dyDescent="0.3">
      <c r="A494" t="s">
        <v>2751</v>
      </c>
      <c r="B494" t="s">
        <v>124</v>
      </c>
      <c r="C494" s="7">
        <v>45913</v>
      </c>
      <c r="D494" t="s">
        <v>2255</v>
      </c>
      <c r="E494">
        <v>101</v>
      </c>
      <c r="F494">
        <v>743.13</v>
      </c>
      <c r="G494" t="s">
        <v>71</v>
      </c>
    </row>
    <row r="495" spans="1:7" x14ac:dyDescent="0.3">
      <c r="A495" t="s">
        <v>2752</v>
      </c>
      <c r="B495" t="s">
        <v>464</v>
      </c>
      <c r="C495" s="7">
        <v>45470</v>
      </c>
      <c r="D495" t="s">
        <v>2259</v>
      </c>
      <c r="E495">
        <v>48</v>
      </c>
      <c r="F495">
        <v>8028.72</v>
      </c>
      <c r="G495" t="s">
        <v>74</v>
      </c>
    </row>
    <row r="496" spans="1:7" x14ac:dyDescent="0.3">
      <c r="A496" t="s">
        <v>2753</v>
      </c>
      <c r="B496" t="s">
        <v>614</v>
      </c>
      <c r="C496" s="7">
        <v>45905</v>
      </c>
      <c r="D496" t="s">
        <v>2267</v>
      </c>
      <c r="E496">
        <v>32</v>
      </c>
      <c r="F496">
        <v>10554.14</v>
      </c>
      <c r="G496" t="s">
        <v>63</v>
      </c>
    </row>
    <row r="497" spans="1:7" x14ac:dyDescent="0.3">
      <c r="A497" t="s">
        <v>2754</v>
      </c>
      <c r="B497" t="s">
        <v>856</v>
      </c>
      <c r="C497" s="7">
        <v>45801</v>
      </c>
      <c r="D497" t="s">
        <v>2261</v>
      </c>
      <c r="E497">
        <v>117</v>
      </c>
      <c r="F497">
        <v>4085.67</v>
      </c>
      <c r="G497" t="s">
        <v>74</v>
      </c>
    </row>
    <row r="498" spans="1:7" x14ac:dyDescent="0.3">
      <c r="A498" t="s">
        <v>2755</v>
      </c>
      <c r="B498" t="s">
        <v>145</v>
      </c>
      <c r="C498" s="7">
        <v>45903</v>
      </c>
      <c r="D498" t="s">
        <v>2255</v>
      </c>
      <c r="E498">
        <v>9</v>
      </c>
      <c r="F498">
        <v>1292.6099999999999</v>
      </c>
      <c r="G498" t="s">
        <v>74</v>
      </c>
    </row>
    <row r="499" spans="1:7" x14ac:dyDescent="0.3">
      <c r="A499" t="s">
        <v>2756</v>
      </c>
      <c r="B499" t="s">
        <v>982</v>
      </c>
      <c r="C499" s="7">
        <v>45565</v>
      </c>
      <c r="D499" t="s">
        <v>2267</v>
      </c>
      <c r="E499">
        <v>94</v>
      </c>
      <c r="F499">
        <v>6197.61</v>
      </c>
      <c r="G499" t="s">
        <v>2256</v>
      </c>
    </row>
    <row r="500" spans="1:7" x14ac:dyDescent="0.3">
      <c r="A500" t="s">
        <v>2757</v>
      </c>
      <c r="B500" t="s">
        <v>358</v>
      </c>
      <c r="C500" s="7">
        <v>45997</v>
      </c>
      <c r="D500" t="s">
        <v>2259</v>
      </c>
      <c r="E500">
        <v>66</v>
      </c>
      <c r="F500">
        <v>9788.5300000000007</v>
      </c>
      <c r="G500" t="s">
        <v>71</v>
      </c>
    </row>
    <row r="501" spans="1:7" x14ac:dyDescent="0.3">
      <c r="A501" t="s">
        <v>2758</v>
      </c>
      <c r="B501" t="s">
        <v>1022</v>
      </c>
      <c r="C501" s="7">
        <v>46002</v>
      </c>
      <c r="D501" t="s">
        <v>2255</v>
      </c>
      <c r="E501">
        <v>95</v>
      </c>
      <c r="F501">
        <v>7519.99</v>
      </c>
      <c r="G501" t="s">
        <v>74</v>
      </c>
    </row>
    <row r="502" spans="1:7" x14ac:dyDescent="0.3">
      <c r="A502" t="s">
        <v>2759</v>
      </c>
      <c r="B502" t="s">
        <v>67</v>
      </c>
      <c r="C502" s="7">
        <v>45931</v>
      </c>
      <c r="D502" t="s">
        <v>2261</v>
      </c>
      <c r="E502">
        <v>80</v>
      </c>
      <c r="F502">
        <v>10747.1</v>
      </c>
      <c r="G502" t="s">
        <v>74</v>
      </c>
    </row>
    <row r="503" spans="1:7" x14ac:dyDescent="0.3">
      <c r="A503" t="s">
        <v>2760</v>
      </c>
      <c r="B503" t="s">
        <v>708</v>
      </c>
      <c r="C503" s="7">
        <v>45387</v>
      </c>
      <c r="D503" t="s">
        <v>2267</v>
      </c>
      <c r="E503">
        <v>9</v>
      </c>
      <c r="F503">
        <v>4404</v>
      </c>
      <c r="G503" t="s">
        <v>71</v>
      </c>
    </row>
    <row r="504" spans="1:7" x14ac:dyDescent="0.3">
      <c r="A504" t="s">
        <v>2761</v>
      </c>
      <c r="B504" t="s">
        <v>698</v>
      </c>
      <c r="C504" s="7">
        <v>45519</v>
      </c>
      <c r="D504" t="s">
        <v>2267</v>
      </c>
      <c r="E504">
        <v>63</v>
      </c>
      <c r="F504">
        <v>6219.81</v>
      </c>
      <c r="G504" t="s">
        <v>74</v>
      </c>
    </row>
    <row r="505" spans="1:7" x14ac:dyDescent="0.3">
      <c r="A505" t="s">
        <v>2762</v>
      </c>
      <c r="B505" t="s">
        <v>1005</v>
      </c>
      <c r="C505" s="7">
        <v>45646</v>
      </c>
      <c r="D505" t="s">
        <v>2267</v>
      </c>
      <c r="E505">
        <v>59</v>
      </c>
      <c r="F505">
        <v>14691.32</v>
      </c>
      <c r="G505" t="s">
        <v>63</v>
      </c>
    </row>
    <row r="506" spans="1:7" x14ac:dyDescent="0.3">
      <c r="A506" t="s">
        <v>2763</v>
      </c>
      <c r="B506" t="s">
        <v>792</v>
      </c>
      <c r="C506" s="7">
        <v>45733</v>
      </c>
      <c r="D506" t="s">
        <v>2267</v>
      </c>
      <c r="E506">
        <v>106</v>
      </c>
      <c r="F506">
        <v>2651.23</v>
      </c>
      <c r="G506" t="s">
        <v>74</v>
      </c>
    </row>
    <row r="507" spans="1:7" x14ac:dyDescent="0.3">
      <c r="A507" t="s">
        <v>2764</v>
      </c>
      <c r="B507" t="s">
        <v>593</v>
      </c>
      <c r="C507" s="7">
        <v>45862</v>
      </c>
      <c r="D507" t="s">
        <v>2255</v>
      </c>
      <c r="E507">
        <v>3</v>
      </c>
      <c r="F507">
        <v>18607.46</v>
      </c>
      <c r="G507" t="s">
        <v>74</v>
      </c>
    </row>
    <row r="508" spans="1:7" x14ac:dyDescent="0.3">
      <c r="A508" t="s">
        <v>2765</v>
      </c>
      <c r="B508" t="s">
        <v>876</v>
      </c>
      <c r="C508" s="7">
        <v>45624</v>
      </c>
      <c r="D508" t="s">
        <v>2255</v>
      </c>
      <c r="E508">
        <v>27</v>
      </c>
      <c r="F508">
        <v>18381.599999999999</v>
      </c>
      <c r="G508" t="s">
        <v>71</v>
      </c>
    </row>
    <row r="509" spans="1:7" x14ac:dyDescent="0.3">
      <c r="A509" t="s">
        <v>2766</v>
      </c>
      <c r="B509" t="s">
        <v>513</v>
      </c>
      <c r="C509" s="7">
        <v>45611</v>
      </c>
      <c r="D509" t="s">
        <v>2261</v>
      </c>
      <c r="E509">
        <v>46</v>
      </c>
      <c r="F509">
        <v>10330.92</v>
      </c>
      <c r="G509" t="s">
        <v>74</v>
      </c>
    </row>
    <row r="510" spans="1:7" x14ac:dyDescent="0.3">
      <c r="A510" t="s">
        <v>2767</v>
      </c>
      <c r="B510" t="s">
        <v>850</v>
      </c>
      <c r="C510" s="7">
        <v>45823</v>
      </c>
      <c r="D510" t="s">
        <v>2255</v>
      </c>
      <c r="E510">
        <v>45</v>
      </c>
      <c r="F510">
        <v>4279.74</v>
      </c>
      <c r="G510" t="s">
        <v>63</v>
      </c>
    </row>
    <row r="511" spans="1:7" x14ac:dyDescent="0.3">
      <c r="A511" t="s">
        <v>2768</v>
      </c>
      <c r="B511" t="s">
        <v>440</v>
      </c>
      <c r="C511" s="7">
        <v>46000</v>
      </c>
      <c r="D511" t="s">
        <v>2255</v>
      </c>
      <c r="E511">
        <v>49</v>
      </c>
      <c r="F511">
        <v>9268.24</v>
      </c>
      <c r="G511" t="s">
        <v>74</v>
      </c>
    </row>
    <row r="512" spans="1:7" x14ac:dyDescent="0.3">
      <c r="A512" t="s">
        <v>2769</v>
      </c>
      <c r="B512" t="s">
        <v>921</v>
      </c>
      <c r="C512" s="7">
        <v>45641</v>
      </c>
      <c r="D512" t="s">
        <v>2261</v>
      </c>
      <c r="E512">
        <v>40</v>
      </c>
      <c r="F512">
        <v>10696.62</v>
      </c>
      <c r="G512" t="s">
        <v>71</v>
      </c>
    </row>
    <row r="513" spans="1:7" x14ac:dyDescent="0.3">
      <c r="A513" t="s">
        <v>2770</v>
      </c>
      <c r="B513" t="s">
        <v>1022</v>
      </c>
      <c r="C513" s="7">
        <v>45693</v>
      </c>
      <c r="D513" t="s">
        <v>2255</v>
      </c>
      <c r="E513">
        <v>26</v>
      </c>
      <c r="F513">
        <v>19214.29</v>
      </c>
      <c r="G513" t="s">
        <v>71</v>
      </c>
    </row>
    <row r="514" spans="1:7" x14ac:dyDescent="0.3">
      <c r="A514" t="s">
        <v>2771</v>
      </c>
      <c r="B514" t="s">
        <v>211</v>
      </c>
      <c r="C514" s="7">
        <v>45745</v>
      </c>
      <c r="D514" t="s">
        <v>2261</v>
      </c>
      <c r="E514">
        <v>91</v>
      </c>
      <c r="F514">
        <v>12173.34</v>
      </c>
      <c r="G514" t="s">
        <v>74</v>
      </c>
    </row>
    <row r="515" spans="1:7" x14ac:dyDescent="0.3">
      <c r="A515" t="s">
        <v>2772</v>
      </c>
      <c r="B515" t="s">
        <v>175</v>
      </c>
      <c r="C515" s="7">
        <v>45693</v>
      </c>
      <c r="D515" t="s">
        <v>2261</v>
      </c>
      <c r="E515">
        <v>9</v>
      </c>
      <c r="F515">
        <v>10348.709999999999</v>
      </c>
      <c r="G515" t="s">
        <v>74</v>
      </c>
    </row>
    <row r="516" spans="1:7" x14ac:dyDescent="0.3">
      <c r="A516" t="s">
        <v>2773</v>
      </c>
      <c r="B516" t="s">
        <v>473</v>
      </c>
      <c r="C516" s="7">
        <v>45484</v>
      </c>
      <c r="D516" t="s">
        <v>2255</v>
      </c>
      <c r="E516">
        <v>38</v>
      </c>
      <c r="F516">
        <v>14502.21</v>
      </c>
      <c r="G516" t="s">
        <v>71</v>
      </c>
    </row>
    <row r="517" spans="1:7" x14ac:dyDescent="0.3">
      <c r="A517" t="s">
        <v>2774</v>
      </c>
      <c r="B517" t="s">
        <v>260</v>
      </c>
      <c r="C517" s="7">
        <v>45725</v>
      </c>
      <c r="D517" t="s">
        <v>2267</v>
      </c>
      <c r="E517">
        <v>47</v>
      </c>
      <c r="F517">
        <v>3995.97</v>
      </c>
      <c r="G517" t="s">
        <v>71</v>
      </c>
    </row>
    <row r="518" spans="1:7" x14ac:dyDescent="0.3">
      <c r="A518" t="s">
        <v>2775</v>
      </c>
      <c r="B518" t="s">
        <v>287</v>
      </c>
      <c r="C518" s="7">
        <v>45490</v>
      </c>
      <c r="D518" t="s">
        <v>2261</v>
      </c>
      <c r="E518">
        <v>8</v>
      </c>
      <c r="F518">
        <v>16188.5</v>
      </c>
      <c r="G518" t="s">
        <v>63</v>
      </c>
    </row>
    <row r="519" spans="1:7" x14ac:dyDescent="0.3">
      <c r="A519" t="s">
        <v>2776</v>
      </c>
      <c r="B519" t="s">
        <v>1023</v>
      </c>
      <c r="C519" s="7">
        <v>45987</v>
      </c>
      <c r="D519" t="s">
        <v>2261</v>
      </c>
      <c r="E519">
        <v>77</v>
      </c>
      <c r="F519">
        <v>11861.14</v>
      </c>
      <c r="G519" t="s">
        <v>74</v>
      </c>
    </row>
    <row r="520" spans="1:7" x14ac:dyDescent="0.3">
      <c r="A520" t="s">
        <v>2777</v>
      </c>
      <c r="B520" t="s">
        <v>1028</v>
      </c>
      <c r="C520" s="7">
        <v>45742</v>
      </c>
      <c r="D520" t="s">
        <v>2255</v>
      </c>
      <c r="E520">
        <v>52</v>
      </c>
      <c r="F520">
        <v>10757.39</v>
      </c>
      <c r="G520" t="s">
        <v>2256</v>
      </c>
    </row>
    <row r="521" spans="1:7" x14ac:dyDescent="0.3">
      <c r="A521" t="s">
        <v>2778</v>
      </c>
      <c r="B521" t="s">
        <v>521</v>
      </c>
      <c r="C521" s="7">
        <v>45762</v>
      </c>
      <c r="D521" t="s">
        <v>2259</v>
      </c>
      <c r="E521">
        <v>19</v>
      </c>
      <c r="F521">
        <v>706.49</v>
      </c>
      <c r="G521" t="s">
        <v>74</v>
      </c>
    </row>
    <row r="522" spans="1:7" x14ac:dyDescent="0.3">
      <c r="A522" t="s">
        <v>2779</v>
      </c>
      <c r="B522" t="s">
        <v>401</v>
      </c>
      <c r="C522" s="7">
        <v>45661</v>
      </c>
      <c r="D522" t="s">
        <v>2261</v>
      </c>
      <c r="E522">
        <v>21</v>
      </c>
      <c r="F522">
        <v>3000.77</v>
      </c>
      <c r="G522" t="s">
        <v>71</v>
      </c>
    </row>
    <row r="523" spans="1:7" x14ac:dyDescent="0.3">
      <c r="A523" t="s">
        <v>2780</v>
      </c>
      <c r="B523" t="s">
        <v>113</v>
      </c>
      <c r="C523" s="7">
        <v>45777</v>
      </c>
      <c r="D523" t="s">
        <v>2259</v>
      </c>
      <c r="E523">
        <v>95</v>
      </c>
      <c r="F523">
        <v>2663.48</v>
      </c>
      <c r="G523" t="s">
        <v>74</v>
      </c>
    </row>
    <row r="524" spans="1:7" x14ac:dyDescent="0.3">
      <c r="A524" t="s">
        <v>2781</v>
      </c>
      <c r="B524" t="s">
        <v>647</v>
      </c>
      <c r="C524" s="7">
        <v>45656</v>
      </c>
      <c r="D524" t="s">
        <v>2267</v>
      </c>
      <c r="E524">
        <v>12</v>
      </c>
      <c r="F524">
        <v>5975.31</v>
      </c>
      <c r="G524" t="s">
        <v>74</v>
      </c>
    </row>
    <row r="525" spans="1:7" x14ac:dyDescent="0.3">
      <c r="A525" t="s">
        <v>2782</v>
      </c>
      <c r="B525" t="s">
        <v>217</v>
      </c>
      <c r="C525" s="7">
        <v>45989</v>
      </c>
      <c r="D525" t="s">
        <v>2255</v>
      </c>
      <c r="E525">
        <v>91</v>
      </c>
      <c r="F525">
        <v>18601.98</v>
      </c>
      <c r="G525" t="s">
        <v>2256</v>
      </c>
    </row>
    <row r="526" spans="1:7" x14ac:dyDescent="0.3">
      <c r="A526" t="s">
        <v>2783</v>
      </c>
      <c r="B526" t="s">
        <v>552</v>
      </c>
      <c r="C526" s="7">
        <v>45769</v>
      </c>
      <c r="D526" t="s">
        <v>2255</v>
      </c>
      <c r="E526">
        <v>23</v>
      </c>
      <c r="F526">
        <v>15846.77</v>
      </c>
      <c r="G526" t="s">
        <v>74</v>
      </c>
    </row>
    <row r="527" spans="1:7" x14ac:dyDescent="0.3">
      <c r="A527" t="s">
        <v>2784</v>
      </c>
      <c r="B527" t="s">
        <v>149</v>
      </c>
      <c r="C527" s="7">
        <v>45672</v>
      </c>
      <c r="D527" t="s">
        <v>2267</v>
      </c>
      <c r="E527">
        <v>114</v>
      </c>
      <c r="F527">
        <v>9594.41</v>
      </c>
      <c r="G527" t="s">
        <v>2256</v>
      </c>
    </row>
    <row r="528" spans="1:7" x14ac:dyDescent="0.3">
      <c r="A528" t="s">
        <v>2785</v>
      </c>
      <c r="B528" t="s">
        <v>127</v>
      </c>
      <c r="C528" s="7">
        <v>45995</v>
      </c>
      <c r="D528" t="s">
        <v>2255</v>
      </c>
      <c r="E528">
        <v>92</v>
      </c>
      <c r="F528">
        <v>11633.48</v>
      </c>
      <c r="G528" t="s">
        <v>63</v>
      </c>
    </row>
    <row r="529" spans="1:7" x14ac:dyDescent="0.3">
      <c r="A529" t="s">
        <v>2786</v>
      </c>
      <c r="B529" t="s">
        <v>263</v>
      </c>
      <c r="C529" s="7">
        <v>45693</v>
      </c>
      <c r="D529" t="s">
        <v>2267</v>
      </c>
      <c r="E529">
        <v>81</v>
      </c>
      <c r="F529">
        <v>16835.849999999999</v>
      </c>
      <c r="G529" t="s">
        <v>2256</v>
      </c>
    </row>
    <row r="530" spans="1:7" x14ac:dyDescent="0.3">
      <c r="A530" t="s">
        <v>2787</v>
      </c>
      <c r="B530" t="s">
        <v>498</v>
      </c>
      <c r="C530" s="7">
        <v>45971</v>
      </c>
      <c r="D530" t="s">
        <v>2259</v>
      </c>
      <c r="E530">
        <v>68</v>
      </c>
      <c r="F530">
        <v>10222.32</v>
      </c>
      <c r="G530" t="s">
        <v>2256</v>
      </c>
    </row>
    <row r="531" spans="1:7" x14ac:dyDescent="0.3">
      <c r="A531" t="s">
        <v>2788</v>
      </c>
      <c r="B531" t="s">
        <v>628</v>
      </c>
      <c r="C531" s="7">
        <v>45742</v>
      </c>
      <c r="D531" t="s">
        <v>2255</v>
      </c>
      <c r="E531">
        <v>114</v>
      </c>
      <c r="F531">
        <v>1854.87</v>
      </c>
      <c r="G531" t="s">
        <v>71</v>
      </c>
    </row>
    <row r="532" spans="1:7" x14ac:dyDescent="0.3">
      <c r="A532" t="s">
        <v>2789</v>
      </c>
      <c r="B532" t="s">
        <v>138</v>
      </c>
      <c r="C532" s="7">
        <v>45557</v>
      </c>
      <c r="D532" t="s">
        <v>2267</v>
      </c>
      <c r="E532">
        <v>62</v>
      </c>
      <c r="F532">
        <v>16631.09</v>
      </c>
      <c r="G532" t="s">
        <v>63</v>
      </c>
    </row>
    <row r="533" spans="1:7" x14ac:dyDescent="0.3">
      <c r="A533" t="s">
        <v>2790</v>
      </c>
      <c r="B533" t="s">
        <v>774</v>
      </c>
      <c r="C533" s="7">
        <v>45938</v>
      </c>
      <c r="D533" t="s">
        <v>2255</v>
      </c>
      <c r="E533">
        <v>28</v>
      </c>
      <c r="F533">
        <v>10227.9</v>
      </c>
      <c r="G533" t="s">
        <v>74</v>
      </c>
    </row>
    <row r="534" spans="1:7" x14ac:dyDescent="0.3">
      <c r="A534" t="s">
        <v>2791</v>
      </c>
      <c r="B534" t="s">
        <v>868</v>
      </c>
      <c r="C534" s="7">
        <v>45609</v>
      </c>
      <c r="D534" t="s">
        <v>2267</v>
      </c>
      <c r="E534">
        <v>94</v>
      </c>
      <c r="F534">
        <v>4993.25</v>
      </c>
      <c r="G534" t="s">
        <v>74</v>
      </c>
    </row>
    <row r="535" spans="1:7" x14ac:dyDescent="0.3">
      <c r="A535" t="s">
        <v>2792</v>
      </c>
      <c r="B535" t="s">
        <v>939</v>
      </c>
      <c r="C535" s="7">
        <v>45497</v>
      </c>
      <c r="D535" t="s">
        <v>2255</v>
      </c>
      <c r="E535">
        <v>34</v>
      </c>
      <c r="F535">
        <v>9246.07</v>
      </c>
      <c r="G535" t="s">
        <v>71</v>
      </c>
    </row>
    <row r="536" spans="1:7" x14ac:dyDescent="0.3">
      <c r="A536" t="s">
        <v>2793</v>
      </c>
      <c r="B536" t="s">
        <v>393</v>
      </c>
      <c r="C536" s="7">
        <v>45843</v>
      </c>
      <c r="D536" t="s">
        <v>2261</v>
      </c>
      <c r="E536">
        <v>72</v>
      </c>
      <c r="F536">
        <v>4863.43</v>
      </c>
      <c r="G536" t="s">
        <v>63</v>
      </c>
    </row>
    <row r="537" spans="1:7" x14ac:dyDescent="0.3">
      <c r="A537" t="s">
        <v>2794</v>
      </c>
      <c r="B537" t="s">
        <v>893</v>
      </c>
      <c r="C537" s="7">
        <v>45776</v>
      </c>
      <c r="D537" t="s">
        <v>2259</v>
      </c>
      <c r="E537">
        <v>2</v>
      </c>
      <c r="F537">
        <v>16175.79</v>
      </c>
      <c r="G537" t="s">
        <v>63</v>
      </c>
    </row>
    <row r="538" spans="1:7" x14ac:dyDescent="0.3">
      <c r="A538" t="s">
        <v>2795</v>
      </c>
      <c r="B538" t="s">
        <v>499</v>
      </c>
      <c r="C538" s="7">
        <v>45947</v>
      </c>
      <c r="D538" t="s">
        <v>2261</v>
      </c>
      <c r="E538">
        <v>112</v>
      </c>
      <c r="F538">
        <v>17729.53</v>
      </c>
      <c r="G538" t="s">
        <v>74</v>
      </c>
    </row>
    <row r="539" spans="1:7" x14ac:dyDescent="0.3">
      <c r="A539" t="s">
        <v>2796</v>
      </c>
      <c r="B539" t="s">
        <v>102</v>
      </c>
      <c r="C539" s="7">
        <v>45429</v>
      </c>
      <c r="D539" t="s">
        <v>2261</v>
      </c>
      <c r="E539">
        <v>20</v>
      </c>
      <c r="F539">
        <v>4984.84</v>
      </c>
      <c r="G539" t="s">
        <v>74</v>
      </c>
    </row>
    <row r="540" spans="1:7" x14ac:dyDescent="0.3">
      <c r="A540" t="s">
        <v>2797</v>
      </c>
      <c r="B540" t="s">
        <v>323</v>
      </c>
      <c r="C540" s="7">
        <v>46016</v>
      </c>
      <c r="D540" t="s">
        <v>2267</v>
      </c>
      <c r="E540">
        <v>55</v>
      </c>
      <c r="F540">
        <v>10750.04</v>
      </c>
      <c r="G540" t="s">
        <v>63</v>
      </c>
    </row>
    <row r="541" spans="1:7" x14ac:dyDescent="0.3">
      <c r="A541" t="s">
        <v>2798</v>
      </c>
      <c r="B541" t="s">
        <v>736</v>
      </c>
      <c r="C541" s="7">
        <v>45686</v>
      </c>
      <c r="D541" t="s">
        <v>2259</v>
      </c>
      <c r="E541">
        <v>42</v>
      </c>
      <c r="F541">
        <v>17954.740000000002</v>
      </c>
      <c r="G541" t="s">
        <v>63</v>
      </c>
    </row>
    <row r="542" spans="1:7" x14ac:dyDescent="0.3">
      <c r="A542" t="s">
        <v>2799</v>
      </c>
      <c r="B542" t="s">
        <v>982</v>
      </c>
      <c r="C542" s="7">
        <v>45409</v>
      </c>
      <c r="D542" t="s">
        <v>2267</v>
      </c>
      <c r="E542">
        <v>68</v>
      </c>
      <c r="F542">
        <v>7776.86</v>
      </c>
      <c r="G542" t="s">
        <v>74</v>
      </c>
    </row>
    <row r="543" spans="1:7" x14ac:dyDescent="0.3">
      <c r="A543" t="s">
        <v>2800</v>
      </c>
      <c r="B543" t="s">
        <v>1021</v>
      </c>
      <c r="C543" s="7">
        <v>45638</v>
      </c>
      <c r="D543" t="s">
        <v>2255</v>
      </c>
      <c r="E543">
        <v>102</v>
      </c>
      <c r="F543">
        <v>12380.21</v>
      </c>
      <c r="G543" t="s">
        <v>2256</v>
      </c>
    </row>
    <row r="544" spans="1:7" x14ac:dyDescent="0.3">
      <c r="A544" t="s">
        <v>2801</v>
      </c>
      <c r="B544" t="s">
        <v>358</v>
      </c>
      <c r="C544" s="7">
        <v>45652</v>
      </c>
      <c r="D544" t="s">
        <v>2267</v>
      </c>
      <c r="E544">
        <v>79</v>
      </c>
      <c r="F544">
        <v>8184.56</v>
      </c>
      <c r="G544" t="s">
        <v>63</v>
      </c>
    </row>
    <row r="545" spans="1:7" x14ac:dyDescent="0.3">
      <c r="A545" t="s">
        <v>2802</v>
      </c>
      <c r="B545" t="s">
        <v>94</v>
      </c>
      <c r="C545" s="7">
        <v>45992</v>
      </c>
      <c r="D545" t="s">
        <v>2261</v>
      </c>
      <c r="E545">
        <v>120</v>
      </c>
      <c r="F545">
        <v>14480.25</v>
      </c>
      <c r="G545" t="s">
        <v>71</v>
      </c>
    </row>
    <row r="546" spans="1:7" x14ac:dyDescent="0.3">
      <c r="A546" t="s">
        <v>2803</v>
      </c>
      <c r="B546" t="s">
        <v>578</v>
      </c>
      <c r="C546" s="7">
        <v>45910</v>
      </c>
      <c r="D546" t="s">
        <v>2261</v>
      </c>
      <c r="E546">
        <v>8</v>
      </c>
      <c r="F546">
        <v>16717.900000000001</v>
      </c>
      <c r="G546" t="s">
        <v>2256</v>
      </c>
    </row>
    <row r="547" spans="1:7" x14ac:dyDescent="0.3">
      <c r="A547" t="s">
        <v>2804</v>
      </c>
      <c r="B547" t="s">
        <v>662</v>
      </c>
      <c r="C547" s="7">
        <v>45629</v>
      </c>
      <c r="D547" t="s">
        <v>2259</v>
      </c>
      <c r="E547">
        <v>84</v>
      </c>
      <c r="F547">
        <v>12822.1</v>
      </c>
      <c r="G547" t="s">
        <v>74</v>
      </c>
    </row>
    <row r="548" spans="1:7" x14ac:dyDescent="0.3">
      <c r="A548" t="s">
        <v>2805</v>
      </c>
      <c r="B548" t="s">
        <v>501</v>
      </c>
      <c r="C548" s="7">
        <v>45892</v>
      </c>
      <c r="D548" t="s">
        <v>2267</v>
      </c>
      <c r="E548">
        <v>98</v>
      </c>
      <c r="F548">
        <v>10874.86</v>
      </c>
      <c r="G548" t="s">
        <v>74</v>
      </c>
    </row>
    <row r="549" spans="1:7" x14ac:dyDescent="0.3">
      <c r="A549" t="s">
        <v>2806</v>
      </c>
      <c r="B549" t="s">
        <v>132</v>
      </c>
      <c r="C549" s="7">
        <v>45787</v>
      </c>
      <c r="D549" t="s">
        <v>2259</v>
      </c>
      <c r="E549">
        <v>49</v>
      </c>
      <c r="F549">
        <v>8263.18</v>
      </c>
      <c r="G549" t="s">
        <v>71</v>
      </c>
    </row>
    <row r="550" spans="1:7" x14ac:dyDescent="0.3">
      <c r="A550" t="s">
        <v>2807</v>
      </c>
      <c r="B550" t="s">
        <v>916</v>
      </c>
      <c r="C550" s="7">
        <v>45873</v>
      </c>
      <c r="D550" t="s">
        <v>2259</v>
      </c>
      <c r="E550">
        <v>84</v>
      </c>
      <c r="F550">
        <v>13913.74</v>
      </c>
      <c r="G550" t="s">
        <v>71</v>
      </c>
    </row>
    <row r="551" spans="1:7" x14ac:dyDescent="0.3">
      <c r="A551" t="s">
        <v>2808</v>
      </c>
      <c r="B551" t="s">
        <v>634</v>
      </c>
      <c r="C551" s="7">
        <v>45308</v>
      </c>
      <c r="D551" t="s">
        <v>2261</v>
      </c>
      <c r="E551">
        <v>26</v>
      </c>
      <c r="F551">
        <v>18208.79</v>
      </c>
      <c r="G551" t="s">
        <v>71</v>
      </c>
    </row>
    <row r="552" spans="1:7" x14ac:dyDescent="0.3">
      <c r="A552" t="s">
        <v>2809</v>
      </c>
      <c r="B552" t="s">
        <v>455</v>
      </c>
      <c r="C552" s="7">
        <v>45695</v>
      </c>
      <c r="D552" t="s">
        <v>2259</v>
      </c>
      <c r="E552">
        <v>96</v>
      </c>
      <c r="F552">
        <v>4916.0200000000004</v>
      </c>
      <c r="G552" t="s">
        <v>2256</v>
      </c>
    </row>
    <row r="553" spans="1:7" x14ac:dyDescent="0.3">
      <c r="A553" t="s">
        <v>2810</v>
      </c>
      <c r="B553" t="s">
        <v>127</v>
      </c>
      <c r="C553" s="7">
        <v>45748</v>
      </c>
      <c r="D553" t="s">
        <v>2267</v>
      </c>
      <c r="E553">
        <v>42</v>
      </c>
      <c r="F553">
        <v>5298.17</v>
      </c>
      <c r="G553" t="s">
        <v>2256</v>
      </c>
    </row>
    <row r="554" spans="1:7" x14ac:dyDescent="0.3">
      <c r="A554" t="s">
        <v>2811</v>
      </c>
      <c r="B554" t="s">
        <v>906</v>
      </c>
      <c r="C554" s="7">
        <v>45848</v>
      </c>
      <c r="D554" t="s">
        <v>2261</v>
      </c>
      <c r="E554">
        <v>64</v>
      </c>
      <c r="F554">
        <v>2807.06</v>
      </c>
      <c r="G554" t="s">
        <v>63</v>
      </c>
    </row>
    <row r="555" spans="1:7" x14ac:dyDescent="0.3">
      <c r="A555" t="s">
        <v>2812</v>
      </c>
      <c r="B555" t="s">
        <v>768</v>
      </c>
      <c r="C555" s="7">
        <v>45802</v>
      </c>
      <c r="D555" t="s">
        <v>2255</v>
      </c>
      <c r="E555">
        <v>14</v>
      </c>
      <c r="F555">
        <v>12026.09</v>
      </c>
      <c r="G555" t="s">
        <v>74</v>
      </c>
    </row>
    <row r="556" spans="1:7" x14ac:dyDescent="0.3">
      <c r="A556" t="s">
        <v>2813</v>
      </c>
      <c r="B556" t="s">
        <v>615</v>
      </c>
      <c r="C556" s="7">
        <v>45912</v>
      </c>
      <c r="D556" t="s">
        <v>2261</v>
      </c>
      <c r="E556">
        <v>103</v>
      </c>
      <c r="F556">
        <v>10076.1</v>
      </c>
      <c r="G556" t="s">
        <v>71</v>
      </c>
    </row>
    <row r="557" spans="1:7" x14ac:dyDescent="0.3">
      <c r="A557" t="s">
        <v>2814</v>
      </c>
      <c r="B557" t="s">
        <v>772</v>
      </c>
      <c r="C557" s="7">
        <v>45662</v>
      </c>
      <c r="D557" t="s">
        <v>2261</v>
      </c>
      <c r="E557">
        <v>72</v>
      </c>
      <c r="F557">
        <v>4993.41</v>
      </c>
      <c r="G557" t="s">
        <v>71</v>
      </c>
    </row>
    <row r="558" spans="1:7" x14ac:dyDescent="0.3">
      <c r="A558" t="s">
        <v>2815</v>
      </c>
      <c r="B558" t="s">
        <v>727</v>
      </c>
      <c r="C558" s="7">
        <v>45842</v>
      </c>
      <c r="D558" t="s">
        <v>2261</v>
      </c>
      <c r="E558">
        <v>12</v>
      </c>
      <c r="F558">
        <v>18292.3</v>
      </c>
      <c r="G558" t="s">
        <v>2256</v>
      </c>
    </row>
    <row r="559" spans="1:7" x14ac:dyDescent="0.3">
      <c r="A559" t="s">
        <v>2816</v>
      </c>
      <c r="B559" t="s">
        <v>601</v>
      </c>
      <c r="C559" s="7">
        <v>45704</v>
      </c>
      <c r="D559" t="s">
        <v>2267</v>
      </c>
      <c r="E559">
        <v>51</v>
      </c>
      <c r="F559">
        <v>9606.08</v>
      </c>
      <c r="G559" t="s">
        <v>63</v>
      </c>
    </row>
    <row r="560" spans="1:7" x14ac:dyDescent="0.3">
      <c r="A560" t="s">
        <v>2817</v>
      </c>
      <c r="B560" t="s">
        <v>635</v>
      </c>
      <c r="C560" s="7">
        <v>45641</v>
      </c>
      <c r="D560" t="s">
        <v>2259</v>
      </c>
      <c r="E560">
        <v>72</v>
      </c>
      <c r="F560">
        <v>12229.26</v>
      </c>
      <c r="G560" t="s">
        <v>71</v>
      </c>
    </row>
    <row r="561" spans="1:7" x14ac:dyDescent="0.3">
      <c r="A561" t="s">
        <v>2818</v>
      </c>
      <c r="B561" t="s">
        <v>566</v>
      </c>
      <c r="C561" s="7">
        <v>45525</v>
      </c>
      <c r="D561" t="s">
        <v>2261</v>
      </c>
      <c r="E561">
        <v>74</v>
      </c>
      <c r="F561">
        <v>13583.96</v>
      </c>
      <c r="G561" t="s">
        <v>63</v>
      </c>
    </row>
    <row r="562" spans="1:7" x14ac:dyDescent="0.3">
      <c r="A562" t="s">
        <v>2819</v>
      </c>
      <c r="B562" t="s">
        <v>869</v>
      </c>
      <c r="C562" s="7">
        <v>45662</v>
      </c>
      <c r="D562" t="s">
        <v>2261</v>
      </c>
      <c r="E562">
        <v>44</v>
      </c>
      <c r="F562">
        <v>4199.57</v>
      </c>
      <c r="G562" t="s">
        <v>71</v>
      </c>
    </row>
    <row r="563" spans="1:7" x14ac:dyDescent="0.3">
      <c r="A563" t="s">
        <v>2820</v>
      </c>
      <c r="B563" t="s">
        <v>1021</v>
      </c>
      <c r="C563" s="7">
        <v>45986</v>
      </c>
      <c r="D563" t="s">
        <v>2261</v>
      </c>
      <c r="E563">
        <v>67</v>
      </c>
      <c r="F563">
        <v>15210.78</v>
      </c>
      <c r="G563" t="s">
        <v>74</v>
      </c>
    </row>
    <row r="564" spans="1:7" x14ac:dyDescent="0.3">
      <c r="A564" t="s">
        <v>2821</v>
      </c>
      <c r="B564" t="s">
        <v>135</v>
      </c>
      <c r="C564" s="7">
        <v>45824</v>
      </c>
      <c r="D564" t="s">
        <v>2255</v>
      </c>
      <c r="E564">
        <v>62</v>
      </c>
      <c r="F564">
        <v>472.97</v>
      </c>
      <c r="G564" t="s">
        <v>63</v>
      </c>
    </row>
    <row r="565" spans="1:7" x14ac:dyDescent="0.3">
      <c r="A565" t="s">
        <v>2822</v>
      </c>
      <c r="B565" t="s">
        <v>400</v>
      </c>
      <c r="C565" s="7">
        <v>45915</v>
      </c>
      <c r="D565" t="s">
        <v>2261</v>
      </c>
      <c r="E565">
        <v>82</v>
      </c>
      <c r="F565">
        <v>16723.349999999999</v>
      </c>
      <c r="G565" t="s">
        <v>74</v>
      </c>
    </row>
    <row r="566" spans="1:7" x14ac:dyDescent="0.3">
      <c r="A566" t="s">
        <v>2823</v>
      </c>
      <c r="B566" t="s">
        <v>948</v>
      </c>
      <c r="C566" s="7">
        <v>45358</v>
      </c>
      <c r="D566" t="s">
        <v>2267</v>
      </c>
      <c r="E566">
        <v>99</v>
      </c>
      <c r="F566">
        <v>12288.58</v>
      </c>
      <c r="G566" t="s">
        <v>71</v>
      </c>
    </row>
    <row r="567" spans="1:7" x14ac:dyDescent="0.3">
      <c r="A567" t="s">
        <v>2824</v>
      </c>
      <c r="B567" t="s">
        <v>1010</v>
      </c>
      <c r="C567" s="7">
        <v>45742</v>
      </c>
      <c r="D567" t="s">
        <v>2267</v>
      </c>
      <c r="E567">
        <v>111</v>
      </c>
      <c r="F567">
        <v>2339.81</v>
      </c>
      <c r="G567" t="s">
        <v>74</v>
      </c>
    </row>
    <row r="568" spans="1:7" x14ac:dyDescent="0.3">
      <c r="A568" t="s">
        <v>2825</v>
      </c>
      <c r="B568" t="s">
        <v>744</v>
      </c>
      <c r="C568" s="7">
        <v>45722</v>
      </c>
      <c r="D568" t="s">
        <v>2259</v>
      </c>
      <c r="E568">
        <v>59</v>
      </c>
      <c r="F568">
        <v>17190.28</v>
      </c>
      <c r="G568" t="s">
        <v>63</v>
      </c>
    </row>
    <row r="569" spans="1:7" x14ac:dyDescent="0.3">
      <c r="A569" t="s">
        <v>2826</v>
      </c>
      <c r="B569" t="s">
        <v>149</v>
      </c>
      <c r="C569" s="7">
        <v>45477</v>
      </c>
      <c r="D569" t="s">
        <v>2267</v>
      </c>
      <c r="E569">
        <v>89</v>
      </c>
      <c r="F569">
        <v>10777.54</v>
      </c>
      <c r="G569" t="s">
        <v>74</v>
      </c>
    </row>
    <row r="570" spans="1:7" x14ac:dyDescent="0.3">
      <c r="A570" t="s">
        <v>2827</v>
      </c>
      <c r="B570" t="s">
        <v>714</v>
      </c>
      <c r="C570" s="7">
        <v>45934</v>
      </c>
      <c r="D570" t="s">
        <v>2267</v>
      </c>
      <c r="E570">
        <v>52</v>
      </c>
      <c r="F570">
        <v>5165.79</v>
      </c>
      <c r="G570" t="s">
        <v>74</v>
      </c>
    </row>
    <row r="571" spans="1:7" x14ac:dyDescent="0.3">
      <c r="A571" t="s">
        <v>2828</v>
      </c>
      <c r="B571" t="s">
        <v>102</v>
      </c>
      <c r="C571" s="7">
        <v>45812</v>
      </c>
      <c r="D571" t="s">
        <v>2255</v>
      </c>
      <c r="E571">
        <v>107</v>
      </c>
      <c r="F571">
        <v>15527.42</v>
      </c>
      <c r="G571" t="s">
        <v>63</v>
      </c>
    </row>
    <row r="572" spans="1:7" x14ac:dyDescent="0.3">
      <c r="A572" t="s">
        <v>2829</v>
      </c>
      <c r="B572" t="s">
        <v>906</v>
      </c>
      <c r="C572" s="7">
        <v>45954</v>
      </c>
      <c r="D572" t="s">
        <v>2259</v>
      </c>
      <c r="E572">
        <v>47</v>
      </c>
      <c r="F572">
        <v>18566.52</v>
      </c>
      <c r="G572" t="s">
        <v>71</v>
      </c>
    </row>
    <row r="573" spans="1:7" x14ac:dyDescent="0.3">
      <c r="A573" t="s">
        <v>2830</v>
      </c>
      <c r="B573" t="s">
        <v>430</v>
      </c>
      <c r="C573" s="7">
        <v>45634</v>
      </c>
      <c r="D573" t="s">
        <v>2267</v>
      </c>
      <c r="E573">
        <v>81</v>
      </c>
      <c r="F573">
        <v>12841.47</v>
      </c>
      <c r="G573" t="s">
        <v>74</v>
      </c>
    </row>
    <row r="574" spans="1:7" x14ac:dyDescent="0.3">
      <c r="A574" t="s">
        <v>2831</v>
      </c>
      <c r="B574" t="s">
        <v>951</v>
      </c>
      <c r="C574" s="7">
        <v>45577</v>
      </c>
      <c r="D574" t="s">
        <v>2267</v>
      </c>
      <c r="E574">
        <v>57</v>
      </c>
      <c r="F574">
        <v>137.43</v>
      </c>
      <c r="G574" t="s">
        <v>71</v>
      </c>
    </row>
    <row r="575" spans="1:7" x14ac:dyDescent="0.3">
      <c r="A575" t="s">
        <v>2832</v>
      </c>
      <c r="B575" t="s">
        <v>145</v>
      </c>
      <c r="C575" s="7">
        <v>45741</v>
      </c>
      <c r="D575" t="s">
        <v>2259</v>
      </c>
      <c r="E575">
        <v>82</v>
      </c>
      <c r="F575">
        <v>14354.71</v>
      </c>
      <c r="G575" t="s">
        <v>63</v>
      </c>
    </row>
    <row r="576" spans="1:7" x14ac:dyDescent="0.3">
      <c r="A576" t="s">
        <v>2833</v>
      </c>
      <c r="B576" t="s">
        <v>229</v>
      </c>
      <c r="C576" s="7">
        <v>45618</v>
      </c>
      <c r="D576" t="s">
        <v>2261</v>
      </c>
      <c r="E576">
        <v>64</v>
      </c>
      <c r="F576">
        <v>18782.72</v>
      </c>
      <c r="G576" t="s">
        <v>63</v>
      </c>
    </row>
    <row r="577" spans="1:7" x14ac:dyDescent="0.3">
      <c r="A577" t="s">
        <v>2834</v>
      </c>
      <c r="B577" t="s">
        <v>176</v>
      </c>
      <c r="C577" s="7">
        <v>45767</v>
      </c>
      <c r="D577" t="s">
        <v>2255</v>
      </c>
      <c r="E577">
        <v>25</v>
      </c>
      <c r="F577">
        <v>12208.81</v>
      </c>
      <c r="G577" t="s">
        <v>2256</v>
      </c>
    </row>
    <row r="578" spans="1:7" x14ac:dyDescent="0.3">
      <c r="A578" t="s">
        <v>2835</v>
      </c>
      <c r="B578" t="s">
        <v>648</v>
      </c>
      <c r="C578" s="7">
        <v>45765</v>
      </c>
      <c r="D578" t="s">
        <v>2267</v>
      </c>
      <c r="E578">
        <v>79</v>
      </c>
      <c r="F578">
        <v>13588.31</v>
      </c>
      <c r="G578" t="s">
        <v>71</v>
      </c>
    </row>
    <row r="579" spans="1:7" x14ac:dyDescent="0.3">
      <c r="A579" t="s">
        <v>2836</v>
      </c>
      <c r="B579" t="s">
        <v>341</v>
      </c>
      <c r="C579" s="7">
        <v>45564</v>
      </c>
      <c r="D579" t="s">
        <v>2259</v>
      </c>
      <c r="E579">
        <v>59</v>
      </c>
      <c r="F579">
        <v>11498.29</v>
      </c>
      <c r="G579" t="s">
        <v>63</v>
      </c>
    </row>
    <row r="580" spans="1:7" x14ac:dyDescent="0.3">
      <c r="A580" t="s">
        <v>2837</v>
      </c>
      <c r="B580" t="s">
        <v>282</v>
      </c>
      <c r="C580" s="7">
        <v>45863</v>
      </c>
      <c r="D580" t="s">
        <v>2259</v>
      </c>
      <c r="E580">
        <v>90</v>
      </c>
      <c r="F580">
        <v>11987.91</v>
      </c>
      <c r="G580" t="s">
        <v>63</v>
      </c>
    </row>
    <row r="581" spans="1:7" x14ac:dyDescent="0.3">
      <c r="A581" t="s">
        <v>2838</v>
      </c>
      <c r="B581" t="s">
        <v>121</v>
      </c>
      <c r="C581" s="7">
        <v>46007</v>
      </c>
      <c r="D581" t="s">
        <v>2261</v>
      </c>
      <c r="E581">
        <v>15</v>
      </c>
      <c r="F581">
        <v>15010.3</v>
      </c>
      <c r="G581" t="s">
        <v>63</v>
      </c>
    </row>
    <row r="582" spans="1:7" x14ac:dyDescent="0.3">
      <c r="A582" t="s">
        <v>2839</v>
      </c>
      <c r="B582" t="s">
        <v>182</v>
      </c>
      <c r="C582" s="7">
        <v>45966</v>
      </c>
      <c r="D582" t="s">
        <v>2259</v>
      </c>
      <c r="E582">
        <v>57</v>
      </c>
      <c r="F582">
        <v>8095.9</v>
      </c>
      <c r="G582" t="s">
        <v>74</v>
      </c>
    </row>
    <row r="583" spans="1:7" x14ac:dyDescent="0.3">
      <c r="A583" t="s">
        <v>2840</v>
      </c>
      <c r="B583" t="s">
        <v>875</v>
      </c>
      <c r="C583" s="7">
        <v>45846</v>
      </c>
      <c r="D583" t="s">
        <v>2259</v>
      </c>
      <c r="E583">
        <v>31</v>
      </c>
      <c r="F583">
        <v>7423.49</v>
      </c>
      <c r="G583" t="s">
        <v>63</v>
      </c>
    </row>
    <row r="584" spans="1:7" x14ac:dyDescent="0.3">
      <c r="A584" t="s">
        <v>2841</v>
      </c>
      <c r="B584" t="s">
        <v>359</v>
      </c>
      <c r="C584" s="7">
        <v>45625</v>
      </c>
      <c r="D584" t="s">
        <v>2259</v>
      </c>
      <c r="E584">
        <v>8</v>
      </c>
      <c r="F584">
        <v>9143.65</v>
      </c>
      <c r="G584" t="s">
        <v>74</v>
      </c>
    </row>
    <row r="585" spans="1:7" x14ac:dyDescent="0.3">
      <c r="A585" t="s">
        <v>2842</v>
      </c>
      <c r="B585" t="s">
        <v>245</v>
      </c>
      <c r="C585" s="7">
        <v>45818</v>
      </c>
      <c r="D585" t="s">
        <v>2255</v>
      </c>
      <c r="E585">
        <v>28</v>
      </c>
      <c r="F585">
        <v>4686.63</v>
      </c>
      <c r="G585" t="s">
        <v>63</v>
      </c>
    </row>
    <row r="586" spans="1:7" x14ac:dyDescent="0.3">
      <c r="A586" t="s">
        <v>2843</v>
      </c>
      <c r="B586" t="s">
        <v>184</v>
      </c>
      <c r="C586" s="7">
        <v>45409</v>
      </c>
      <c r="D586" t="s">
        <v>2255</v>
      </c>
      <c r="E586">
        <v>35</v>
      </c>
      <c r="F586">
        <v>3872.27</v>
      </c>
      <c r="G586" t="s">
        <v>2256</v>
      </c>
    </row>
    <row r="587" spans="1:7" x14ac:dyDescent="0.3">
      <c r="A587" t="s">
        <v>2844</v>
      </c>
      <c r="B587" t="s">
        <v>328</v>
      </c>
      <c r="C587" s="7">
        <v>46017</v>
      </c>
      <c r="D587" t="s">
        <v>2267</v>
      </c>
      <c r="E587">
        <v>79</v>
      </c>
      <c r="F587">
        <v>4611.55</v>
      </c>
      <c r="G587" t="s">
        <v>2256</v>
      </c>
    </row>
    <row r="588" spans="1:7" x14ac:dyDescent="0.3">
      <c r="A588" t="s">
        <v>2845</v>
      </c>
      <c r="B588" t="s">
        <v>645</v>
      </c>
      <c r="C588" s="7">
        <v>45736</v>
      </c>
      <c r="D588" t="s">
        <v>2255</v>
      </c>
      <c r="E588">
        <v>86</v>
      </c>
      <c r="F588">
        <v>1125.8399999999999</v>
      </c>
      <c r="G588" t="s">
        <v>2256</v>
      </c>
    </row>
    <row r="589" spans="1:7" x14ac:dyDescent="0.3">
      <c r="A589" t="s">
        <v>2846</v>
      </c>
      <c r="B589" t="s">
        <v>867</v>
      </c>
      <c r="C589" s="7">
        <v>45486</v>
      </c>
      <c r="D589" t="s">
        <v>2267</v>
      </c>
      <c r="E589">
        <v>24</v>
      </c>
      <c r="F589">
        <v>18976.810000000001</v>
      </c>
      <c r="G589" t="s">
        <v>2256</v>
      </c>
    </row>
    <row r="590" spans="1:7" x14ac:dyDescent="0.3">
      <c r="A590" t="s">
        <v>2847</v>
      </c>
      <c r="B590" t="s">
        <v>954</v>
      </c>
      <c r="C590" s="7">
        <v>45504</v>
      </c>
      <c r="D590" t="s">
        <v>2261</v>
      </c>
      <c r="E590">
        <v>102</v>
      </c>
      <c r="F590">
        <v>16065.12</v>
      </c>
      <c r="G590" t="s">
        <v>71</v>
      </c>
    </row>
    <row r="591" spans="1:7" x14ac:dyDescent="0.3">
      <c r="A591" t="s">
        <v>2848</v>
      </c>
      <c r="B591" t="s">
        <v>414</v>
      </c>
      <c r="C591" s="7">
        <v>45788</v>
      </c>
      <c r="D591" t="s">
        <v>2267</v>
      </c>
      <c r="E591">
        <v>111</v>
      </c>
      <c r="F591">
        <v>3265.43</v>
      </c>
      <c r="G591" t="s">
        <v>2256</v>
      </c>
    </row>
    <row r="592" spans="1:7" x14ac:dyDescent="0.3">
      <c r="A592" t="s">
        <v>2849</v>
      </c>
      <c r="B592" t="s">
        <v>214</v>
      </c>
      <c r="C592" s="7">
        <v>45841</v>
      </c>
      <c r="D592" t="s">
        <v>2261</v>
      </c>
      <c r="E592">
        <v>108</v>
      </c>
      <c r="F592">
        <v>6729.62</v>
      </c>
      <c r="G592" t="s">
        <v>63</v>
      </c>
    </row>
    <row r="593" spans="1:7" x14ac:dyDescent="0.3">
      <c r="A593" t="s">
        <v>2850</v>
      </c>
      <c r="B593" t="s">
        <v>630</v>
      </c>
      <c r="C593" s="7">
        <v>45728</v>
      </c>
      <c r="D593" t="s">
        <v>2267</v>
      </c>
      <c r="E593">
        <v>49</v>
      </c>
      <c r="F593">
        <v>18302.8</v>
      </c>
      <c r="G593" t="s">
        <v>74</v>
      </c>
    </row>
    <row r="594" spans="1:7" x14ac:dyDescent="0.3">
      <c r="A594" t="s">
        <v>2851</v>
      </c>
      <c r="B594" t="s">
        <v>322</v>
      </c>
      <c r="C594" s="7">
        <v>45789</v>
      </c>
      <c r="D594" t="s">
        <v>2267</v>
      </c>
      <c r="E594">
        <v>37</v>
      </c>
      <c r="F594">
        <v>18498.23</v>
      </c>
      <c r="G594" t="s">
        <v>71</v>
      </c>
    </row>
    <row r="595" spans="1:7" x14ac:dyDescent="0.3">
      <c r="A595" t="s">
        <v>2852</v>
      </c>
      <c r="B595" t="s">
        <v>23</v>
      </c>
      <c r="C595" s="7">
        <v>45836</v>
      </c>
      <c r="D595" t="s">
        <v>2267</v>
      </c>
      <c r="E595">
        <v>100</v>
      </c>
      <c r="F595">
        <v>2084.37</v>
      </c>
      <c r="G595" t="s">
        <v>63</v>
      </c>
    </row>
    <row r="596" spans="1:7" x14ac:dyDescent="0.3">
      <c r="A596" t="s">
        <v>2853</v>
      </c>
      <c r="B596" t="s">
        <v>727</v>
      </c>
      <c r="C596" s="7">
        <v>45722</v>
      </c>
      <c r="D596" t="s">
        <v>2261</v>
      </c>
      <c r="E596">
        <v>22</v>
      </c>
      <c r="F596">
        <v>655.24</v>
      </c>
      <c r="G596" t="s">
        <v>71</v>
      </c>
    </row>
    <row r="597" spans="1:7" x14ac:dyDescent="0.3">
      <c r="A597" t="s">
        <v>2854</v>
      </c>
      <c r="B597" t="s">
        <v>326</v>
      </c>
      <c r="C597" s="7">
        <v>45862</v>
      </c>
      <c r="D597" t="s">
        <v>2261</v>
      </c>
      <c r="E597">
        <v>32</v>
      </c>
      <c r="F597">
        <v>6540.5</v>
      </c>
      <c r="G597" t="s">
        <v>71</v>
      </c>
    </row>
    <row r="598" spans="1:7" x14ac:dyDescent="0.3">
      <c r="A598" t="s">
        <v>2855</v>
      </c>
      <c r="B598" t="s">
        <v>932</v>
      </c>
      <c r="C598" s="7">
        <v>45781</v>
      </c>
      <c r="D598" t="s">
        <v>2261</v>
      </c>
      <c r="E598">
        <v>70</v>
      </c>
      <c r="F598">
        <v>4220.47</v>
      </c>
      <c r="G598" t="s">
        <v>2256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4E5C-6C74-4209-BF83-2AADF76EAB2B}">
  <dimension ref="B3:H33"/>
  <sheetViews>
    <sheetView topLeftCell="B1" workbookViewId="0">
      <selection activeCell="G43" sqref="G43"/>
    </sheetView>
  </sheetViews>
  <sheetFormatPr defaultRowHeight="14.4" x14ac:dyDescent="0.3"/>
  <cols>
    <col min="2" max="2" width="22.88671875" customWidth="1"/>
    <col min="3" max="3" width="38.6640625" bestFit="1" customWidth="1"/>
    <col min="4" max="4" width="18.44140625" bestFit="1" customWidth="1"/>
    <col min="5" max="5" width="20" bestFit="1" customWidth="1"/>
    <col min="6" max="6" width="19.6640625" bestFit="1" customWidth="1"/>
    <col min="7" max="7" width="18.6640625" bestFit="1" customWidth="1"/>
    <col min="8" max="8" width="42.5546875" customWidth="1"/>
  </cols>
  <sheetData>
    <row r="3" spans="2:8" x14ac:dyDescent="0.3">
      <c r="D3" s="55" t="s">
        <v>2894</v>
      </c>
      <c r="E3" s="56"/>
      <c r="F3" s="12" t="s">
        <v>2895</v>
      </c>
      <c r="G3" s="12" t="s">
        <v>2896</v>
      </c>
      <c r="H3" s="52" t="s">
        <v>2897</v>
      </c>
    </row>
    <row r="5" spans="2:8" x14ac:dyDescent="0.3">
      <c r="B5" s="13" t="s">
        <v>2898</v>
      </c>
      <c r="C5" s="14"/>
      <c r="D5" s="57">
        <v>2681326566</v>
      </c>
      <c r="E5" s="57"/>
      <c r="F5" s="14"/>
      <c r="G5" s="14"/>
      <c r="H5" s="15"/>
    </row>
    <row r="6" spans="2:8" x14ac:dyDescent="0.3">
      <c r="B6" s="16"/>
      <c r="C6" s="16"/>
      <c r="D6" s="17"/>
      <c r="E6" s="17"/>
    </row>
    <row r="7" spans="2:8" x14ac:dyDescent="0.3">
      <c r="B7" s="58" t="s">
        <v>2899</v>
      </c>
      <c r="C7" s="8" t="s">
        <v>2900</v>
      </c>
      <c r="D7" s="61">
        <f>SUM('Zone Water Balance'!E2:E361)</f>
        <v>47839487</v>
      </c>
      <c r="E7" s="61"/>
      <c r="F7" s="18">
        <f>((D7/D5)*100)</f>
        <v>1.7841723424001612</v>
      </c>
      <c r="G7" s="19"/>
      <c r="H7" s="42">
        <f>D7*H20</f>
        <v>38271589.600000001</v>
      </c>
    </row>
    <row r="8" spans="2:8" x14ac:dyDescent="0.3">
      <c r="B8" s="59"/>
      <c r="C8" t="s">
        <v>2901</v>
      </c>
      <c r="D8" s="62">
        <f>SUM('Zone Water Balance'!F2:F361)</f>
        <v>107563776</v>
      </c>
      <c r="E8" s="62"/>
      <c r="F8" s="21">
        <f>((D8/D5)*100)</f>
        <v>4.0115880461537188</v>
      </c>
      <c r="G8" s="22"/>
      <c r="H8" s="23">
        <f>D8*H20</f>
        <v>86051020.800000012</v>
      </c>
    </row>
    <row r="9" spans="2:8" x14ac:dyDescent="0.3">
      <c r="B9" s="60"/>
      <c r="C9" s="24" t="s">
        <v>2902</v>
      </c>
      <c r="D9" s="63">
        <f>SUM('Zone Water Balance'!G2:G361)</f>
        <v>421742469</v>
      </c>
      <c r="E9" s="63"/>
      <c r="F9" s="25">
        <f>((D9/D5)*100)</f>
        <v>15.728873698109624</v>
      </c>
      <c r="G9" s="26"/>
      <c r="H9" s="43">
        <f>D9*H20</f>
        <v>337393975.20000005</v>
      </c>
    </row>
    <row r="11" spans="2:8" x14ac:dyDescent="0.3">
      <c r="B11" s="58" t="s">
        <v>2903</v>
      </c>
      <c r="C11" s="27" t="s">
        <v>2904</v>
      </c>
      <c r="D11" s="64">
        <f>SUM(D7:E9)</f>
        <v>577145732</v>
      </c>
      <c r="E11" s="64"/>
      <c r="F11" s="19"/>
      <c r="G11" s="19"/>
      <c r="H11" s="51">
        <f>D11*H20</f>
        <v>461716585.60000002</v>
      </c>
    </row>
    <row r="12" spans="2:8" x14ac:dyDescent="0.3">
      <c r="B12" s="60"/>
      <c r="C12" s="28" t="s">
        <v>2905</v>
      </c>
      <c r="D12" s="65">
        <f>D8+D9</f>
        <v>529306245</v>
      </c>
      <c r="E12" s="65"/>
      <c r="F12" s="26"/>
      <c r="G12" s="26"/>
      <c r="H12" s="29">
        <f>D12*H20</f>
        <v>423444996</v>
      </c>
    </row>
    <row r="14" spans="2:8" x14ac:dyDescent="0.3">
      <c r="B14" s="58" t="s">
        <v>2906</v>
      </c>
      <c r="C14" s="8" t="s">
        <v>2907</v>
      </c>
      <c r="D14" s="30">
        <v>4983886.0374999996</v>
      </c>
      <c r="E14" s="66">
        <f>D14+D15</f>
        <v>7871487.5749999993</v>
      </c>
      <c r="F14" s="53">
        <v>2.5389588460825299</v>
      </c>
      <c r="G14" s="68">
        <f>D8/E14</f>
        <v>13.664987078379529</v>
      </c>
      <c r="H14" s="20">
        <f>D14*H20</f>
        <v>3987108.83</v>
      </c>
    </row>
    <row r="15" spans="2:8" x14ac:dyDescent="0.3">
      <c r="B15" s="59"/>
      <c r="C15" t="s">
        <v>2908</v>
      </c>
      <c r="D15" s="31">
        <v>2887601.5375000001</v>
      </c>
      <c r="E15" s="67"/>
      <c r="F15" s="41">
        <v>1.4710411539174699</v>
      </c>
      <c r="G15" s="69"/>
      <c r="H15" s="23">
        <f>D15*H20</f>
        <v>2310081.23</v>
      </c>
    </row>
    <row r="16" spans="2:8" x14ac:dyDescent="0.3">
      <c r="B16" s="59"/>
      <c r="C16" t="s">
        <v>2909</v>
      </c>
      <c r="D16" s="70">
        <v>6640045.7399999993</v>
      </c>
      <c r="E16" s="70"/>
      <c r="F16" s="41">
        <v>15.73</v>
      </c>
      <c r="G16" s="32">
        <f>D9/D16</f>
        <v>63.514994551829709</v>
      </c>
      <c r="H16" s="23">
        <f>D16*H20</f>
        <v>5312036.5920000002</v>
      </c>
    </row>
    <row r="17" spans="2:8" x14ac:dyDescent="0.3">
      <c r="B17" s="59"/>
      <c r="C17" s="22"/>
      <c r="D17" s="22"/>
      <c r="E17" s="22"/>
      <c r="F17" s="22"/>
      <c r="G17" s="22"/>
      <c r="H17" s="33"/>
    </row>
    <row r="18" spans="2:8" x14ac:dyDescent="0.3">
      <c r="B18" s="60"/>
      <c r="C18" s="28" t="s">
        <v>2904</v>
      </c>
      <c r="D18" s="65">
        <f>D14+D15+D16</f>
        <v>14511533.314999998</v>
      </c>
      <c r="E18" s="65"/>
      <c r="F18" s="24"/>
      <c r="G18" s="24">
        <f>D12/D18</f>
        <v>36.474866818717018</v>
      </c>
      <c r="H18" s="34"/>
    </row>
    <row r="20" spans="2:8" x14ac:dyDescent="0.3">
      <c r="B20" s="13" t="s">
        <v>2910</v>
      </c>
      <c r="C20" s="14"/>
      <c r="D20" s="14"/>
      <c r="E20" s="14"/>
      <c r="F20" s="14"/>
      <c r="G20" s="14"/>
      <c r="H20" s="35">
        <v>0.8</v>
      </c>
    </row>
    <row r="22" spans="2:8" x14ac:dyDescent="0.3">
      <c r="B22" s="58" t="s">
        <v>2911</v>
      </c>
      <c r="C22" s="8" t="s">
        <v>2907</v>
      </c>
      <c r="D22" s="71">
        <f>(F22*D8)/100</f>
        <v>68104738.302553639</v>
      </c>
      <c r="E22" s="71"/>
      <c r="F22" s="36">
        <f>(D14/E14)*100</f>
        <v>63.315681947195344</v>
      </c>
      <c r="G22" s="19"/>
      <c r="H22" s="42">
        <f>D22*H20</f>
        <v>54483790.642042913</v>
      </c>
    </row>
    <row r="23" spans="2:8" x14ac:dyDescent="0.3">
      <c r="B23" s="60"/>
      <c r="C23" s="24" t="s">
        <v>2908</v>
      </c>
      <c r="D23" s="72">
        <f>(F23*D8)/100</f>
        <v>39459037.697446361</v>
      </c>
      <c r="E23" s="72"/>
      <c r="F23" s="37">
        <f>(D15/E14)*100</f>
        <v>36.684318052804656</v>
      </c>
      <c r="G23" s="26"/>
      <c r="H23" s="42">
        <f>D23*H20</f>
        <v>31567230.157957092</v>
      </c>
    </row>
    <row r="25" spans="2:8" x14ac:dyDescent="0.3">
      <c r="G25" s="49" t="s">
        <v>2895</v>
      </c>
    </row>
    <row r="26" spans="2:8" x14ac:dyDescent="0.3">
      <c r="B26" t="s">
        <v>2912</v>
      </c>
      <c r="E26" s="44" t="s">
        <v>2917</v>
      </c>
      <c r="F26" s="46">
        <v>577145732</v>
      </c>
      <c r="G26" s="41">
        <v>100</v>
      </c>
      <c r="H26" s="39">
        <f>F16+F15</f>
        <v>17.201041153917469</v>
      </c>
    </row>
    <row r="27" spans="2:8" x14ac:dyDescent="0.3">
      <c r="B27" t="s">
        <v>2913</v>
      </c>
      <c r="E27" t="s">
        <v>2918</v>
      </c>
      <c r="F27" s="45">
        <f>D11-D9</f>
        <v>155403263</v>
      </c>
      <c r="H27" s="40"/>
    </row>
    <row r="28" spans="2:8" x14ac:dyDescent="0.3">
      <c r="B28" t="s">
        <v>2914</v>
      </c>
      <c r="E28" s="45" t="s">
        <v>2919</v>
      </c>
      <c r="F28" s="48">
        <f>F27-D23</f>
        <v>115944225.30255364</v>
      </c>
      <c r="H28" s="45">
        <v>21.52</v>
      </c>
    </row>
    <row r="29" spans="2:8" x14ac:dyDescent="0.3">
      <c r="B29" t="s">
        <v>2915</v>
      </c>
      <c r="F29" s="41"/>
      <c r="G29" s="21"/>
      <c r="H29" s="38">
        <f>H28-H26</f>
        <v>4.3189588460825306</v>
      </c>
    </row>
    <row r="30" spans="2:8" x14ac:dyDescent="0.3">
      <c r="B30" t="s">
        <v>2916</v>
      </c>
      <c r="E30" s="44" t="s">
        <v>2920</v>
      </c>
      <c r="F30" s="50">
        <f>D7+D22</f>
        <v>115944225.30255364</v>
      </c>
      <c r="G30">
        <f>F30/F26</f>
        <v>0.20089245899951252</v>
      </c>
      <c r="H30" s="45"/>
    </row>
    <row r="32" spans="2:8" x14ac:dyDescent="0.3">
      <c r="E32" s="45"/>
      <c r="F32" s="47">
        <v>115944225.30255364</v>
      </c>
      <c r="G32">
        <f>F30/D5</f>
        <v>4.3241366707345574E-2</v>
      </c>
      <c r="H32" s="32"/>
    </row>
    <row r="33" spans="8:8" x14ac:dyDescent="0.3">
      <c r="H33" s="32">
        <v>18.26895884608253</v>
      </c>
    </row>
  </sheetData>
  <mergeCells count="17">
    <mergeCell ref="G14:G15"/>
    <mergeCell ref="D16:E16"/>
    <mergeCell ref="D18:E18"/>
    <mergeCell ref="B22:B23"/>
    <mergeCell ref="D22:E22"/>
    <mergeCell ref="D23:E23"/>
    <mergeCell ref="B11:B12"/>
    <mergeCell ref="D11:E11"/>
    <mergeCell ref="D12:E12"/>
    <mergeCell ref="B14:B18"/>
    <mergeCell ref="E14:E15"/>
    <mergeCell ref="D3:E3"/>
    <mergeCell ref="D5:E5"/>
    <mergeCell ref="B7:B9"/>
    <mergeCell ref="D7:E7"/>
    <mergeCell ref="D8:E8"/>
    <mergeCell ref="D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Zone Water Balance</vt:lpstr>
      <vt:lpstr>Dam</vt:lpstr>
      <vt:lpstr>WTP</vt:lpstr>
      <vt:lpstr>Zone</vt:lpstr>
      <vt:lpstr>Leak</vt:lpstr>
      <vt:lpstr>Meter</vt:lpstr>
      <vt:lpstr>Illegal Connections</vt:lpstr>
      <vt:lpstr>Maintenance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Ashraf Abd Ghani</dc:creator>
  <cp:lastModifiedBy>Nurul Ashraf Abd Ghani</cp:lastModifiedBy>
  <dcterms:created xsi:type="dcterms:W3CDTF">2025-10-23T04:23:31Z</dcterms:created>
  <dcterms:modified xsi:type="dcterms:W3CDTF">2025-11-06T07:12:09Z</dcterms:modified>
</cp:coreProperties>
</file>